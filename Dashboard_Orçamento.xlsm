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decce1ba5394910a/Área de Trabalho/"/>
    </mc:Choice>
  </mc:AlternateContent>
  <xr:revisionPtr revIDLastSave="80" documentId="8_{11B44E75-F9E2-451D-BCD6-503A9E15B68A}" xr6:coauthVersionLast="47" xr6:coauthVersionMax="47" xr10:uidLastSave="{15713A4B-254B-4BAD-AC23-C496A4FF257E}"/>
  <bookViews>
    <workbookView xWindow="-108" yWindow="-108" windowWidth="23256" windowHeight="12576" tabRatio="0" firstSheet="3" activeTab="3" xr2:uid="{00000000-000D-0000-FFFF-FFFF00000000}"/>
  </bookViews>
  <sheets>
    <sheet name="DATA_TXT_CEF" sheetId="5" state="hidden" r:id="rId1"/>
    <sheet name="Data" sheetId="1" state="hidden" r:id="rId2"/>
    <sheet name="Controller" sheetId="3" state="hidden" r:id="rId3"/>
    <sheet name="Dashboard" sheetId="6" r:id="rId4"/>
  </sheets>
  <definedNames>
    <definedName name="_xlnm._FilterDatabase" localSheetId="1" hidden="1">Data!$N$2:$O$61</definedName>
    <definedName name="_xleta.IF" hidden="1" xlm="1">#NAME?</definedName>
    <definedName name="DadosExternos_2" localSheetId="0" hidden="1">DATA_TXT_CEF!$A$1:$H$229</definedName>
    <definedName name="SegmentaçãodeDados_Ano">#N/A</definedName>
    <definedName name="SegmentaçãodeDados_Mês">#N/A</definedName>
  </definedNames>
  <calcPr calcId="191029"/>
  <pivotCaches>
    <pivotCache cacheId="165" r:id="rId5"/>
    <pivotCache cacheId="166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ezembro2024_90d64b87-a8e9-48f9-bedf-97dc5308b374" name="Dezembro2024" connection="Consulta - Dezembro202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0" i="1" l="1"/>
  <c r="H229" i="1"/>
  <c r="J229" i="1" s="1"/>
  <c r="I229" i="1" s="1"/>
  <c r="F229" i="1"/>
  <c r="E229" i="1"/>
  <c r="D229" i="1" s="1"/>
  <c r="C229" i="1"/>
  <c r="B229" i="1"/>
  <c r="A229" i="1"/>
  <c r="H228" i="1"/>
  <c r="J228" i="1" s="1"/>
  <c r="I228" i="1" s="1"/>
  <c r="F228" i="1"/>
  <c r="E228" i="1"/>
  <c r="D228" i="1" s="1"/>
  <c r="C228" i="1"/>
  <c r="B228" i="1"/>
  <c r="A228" i="1"/>
  <c r="H227" i="1"/>
  <c r="J227" i="1" s="1"/>
  <c r="I227" i="1" s="1"/>
  <c r="F227" i="1"/>
  <c r="E227" i="1"/>
  <c r="D227" i="1" s="1"/>
  <c r="C227" i="1"/>
  <c r="B227" i="1"/>
  <c r="A227" i="1"/>
  <c r="H226" i="1"/>
  <c r="J226" i="1" s="1"/>
  <c r="I226" i="1" s="1"/>
  <c r="F226" i="1"/>
  <c r="E226" i="1"/>
  <c r="D226" i="1" s="1"/>
  <c r="C226" i="1"/>
  <c r="B226" i="1"/>
  <c r="A226" i="1"/>
  <c r="C229" i="5"/>
  <c r="D229" i="5"/>
  <c r="I229" i="5"/>
  <c r="J229" i="5"/>
  <c r="C228" i="5"/>
  <c r="D228" i="5"/>
  <c r="I228" i="5"/>
  <c r="J228" i="5"/>
  <c r="C227" i="5"/>
  <c r="D227" i="5"/>
  <c r="I227" i="5"/>
  <c r="J227" i="5"/>
  <c r="C226" i="5"/>
  <c r="D226" i="5"/>
  <c r="I226" i="5"/>
  <c r="J226" i="5"/>
  <c r="C2" i="5"/>
  <c r="B2" i="1" s="1"/>
  <c r="C3" i="5"/>
  <c r="B3" i="1" s="1"/>
  <c r="C4" i="5"/>
  <c r="B4" i="1" s="1"/>
  <c r="C5" i="5"/>
  <c r="B5" i="1" s="1"/>
  <c r="C6" i="5"/>
  <c r="B6" i="1" s="1"/>
  <c r="C7" i="5"/>
  <c r="B7" i="1" s="1"/>
  <c r="C8" i="5"/>
  <c r="B8" i="1" s="1"/>
  <c r="C9" i="5"/>
  <c r="B9" i="1" s="1"/>
  <c r="C10" i="5"/>
  <c r="B10" i="1" s="1"/>
  <c r="C11" i="5"/>
  <c r="B11" i="1" s="1"/>
  <c r="C12" i="5"/>
  <c r="B12" i="1" s="1"/>
  <c r="C13" i="5"/>
  <c r="B13" i="1" s="1"/>
  <c r="C14" i="5"/>
  <c r="B14" i="1" s="1"/>
  <c r="C15" i="5"/>
  <c r="B15" i="1" s="1"/>
  <c r="C16" i="5"/>
  <c r="B16" i="1" s="1"/>
  <c r="C17" i="5"/>
  <c r="B17" i="1" s="1"/>
  <c r="C18" i="5"/>
  <c r="B18" i="1" s="1"/>
  <c r="C19" i="5"/>
  <c r="B19" i="1" s="1"/>
  <c r="C20" i="5"/>
  <c r="B20" i="1" s="1"/>
  <c r="C21" i="5"/>
  <c r="B21" i="1" s="1"/>
  <c r="C22" i="5"/>
  <c r="B22" i="1" s="1"/>
  <c r="C23" i="5"/>
  <c r="B23" i="1" s="1"/>
  <c r="C24" i="5"/>
  <c r="B24" i="1" s="1"/>
  <c r="C25" i="5"/>
  <c r="B25" i="1" s="1"/>
  <c r="C26" i="5"/>
  <c r="B26" i="1" s="1"/>
  <c r="C27" i="5"/>
  <c r="B27" i="1" s="1"/>
  <c r="C28" i="5"/>
  <c r="B28" i="1" s="1"/>
  <c r="C29" i="5"/>
  <c r="B29" i="1" s="1"/>
  <c r="C30" i="5"/>
  <c r="B30" i="1" s="1"/>
  <c r="C31" i="5"/>
  <c r="B31" i="1" s="1"/>
  <c r="C32" i="5"/>
  <c r="B32" i="1" s="1"/>
  <c r="C33" i="5"/>
  <c r="B33" i="1" s="1"/>
  <c r="C34" i="5"/>
  <c r="B34" i="1" s="1"/>
  <c r="C35" i="5"/>
  <c r="B35" i="1" s="1"/>
  <c r="C36" i="5"/>
  <c r="B36" i="1" s="1"/>
  <c r="C37" i="5"/>
  <c r="B37" i="1" s="1"/>
  <c r="C38" i="5"/>
  <c r="B38" i="1" s="1"/>
  <c r="C39" i="5"/>
  <c r="B39" i="1" s="1"/>
  <c r="C40" i="5"/>
  <c r="B40" i="1" s="1"/>
  <c r="C41" i="5"/>
  <c r="B41" i="1" s="1"/>
  <c r="C42" i="5"/>
  <c r="B42" i="1" s="1"/>
  <c r="C43" i="5"/>
  <c r="B43" i="1" s="1"/>
  <c r="C44" i="5"/>
  <c r="B44" i="1" s="1"/>
  <c r="C45" i="5"/>
  <c r="B45" i="1" s="1"/>
  <c r="C46" i="5"/>
  <c r="B46" i="1" s="1"/>
  <c r="C47" i="5"/>
  <c r="B47" i="1" s="1"/>
  <c r="C48" i="5"/>
  <c r="B48" i="1" s="1"/>
  <c r="C49" i="5"/>
  <c r="B49" i="1" s="1"/>
  <c r="C50" i="5"/>
  <c r="B50" i="1" s="1"/>
  <c r="C51" i="5"/>
  <c r="B51" i="1" s="1"/>
  <c r="C52" i="5"/>
  <c r="B52" i="1" s="1"/>
  <c r="C53" i="5"/>
  <c r="B53" i="1" s="1"/>
  <c r="C54" i="5"/>
  <c r="B54" i="1" s="1"/>
  <c r="C55" i="5"/>
  <c r="B55" i="1" s="1"/>
  <c r="C56" i="5"/>
  <c r="B56" i="1" s="1"/>
  <c r="C57" i="5"/>
  <c r="B57" i="1" s="1"/>
  <c r="C58" i="5"/>
  <c r="B58" i="1" s="1"/>
  <c r="C59" i="5"/>
  <c r="B59" i="1" s="1"/>
  <c r="C60" i="5"/>
  <c r="B60" i="1" s="1"/>
  <c r="C61" i="5"/>
  <c r="B61" i="1" s="1"/>
  <c r="C62" i="5"/>
  <c r="B62" i="1" s="1"/>
  <c r="C63" i="5"/>
  <c r="B63" i="1" s="1"/>
  <c r="C64" i="5"/>
  <c r="B64" i="1" s="1"/>
  <c r="C65" i="5"/>
  <c r="B65" i="1" s="1"/>
  <c r="C66" i="5"/>
  <c r="B66" i="1" s="1"/>
  <c r="C67" i="5"/>
  <c r="B67" i="1" s="1"/>
  <c r="C68" i="5"/>
  <c r="B68" i="1" s="1"/>
  <c r="C69" i="5"/>
  <c r="B69" i="1" s="1"/>
  <c r="C70" i="5"/>
  <c r="B70" i="1" s="1"/>
  <c r="C71" i="5"/>
  <c r="B71" i="1" s="1"/>
  <c r="C72" i="5"/>
  <c r="B72" i="1" s="1"/>
  <c r="C73" i="5"/>
  <c r="B73" i="1" s="1"/>
  <c r="C74" i="5"/>
  <c r="B74" i="1" s="1"/>
  <c r="C75" i="5"/>
  <c r="B75" i="1" s="1"/>
  <c r="C76" i="5"/>
  <c r="B76" i="1" s="1"/>
  <c r="C77" i="5"/>
  <c r="B77" i="1" s="1"/>
  <c r="C78" i="5"/>
  <c r="B78" i="1" s="1"/>
  <c r="C79" i="5"/>
  <c r="B79" i="1" s="1"/>
  <c r="C80" i="5"/>
  <c r="B80" i="1" s="1"/>
  <c r="C81" i="5"/>
  <c r="B81" i="1" s="1"/>
  <c r="C82" i="5"/>
  <c r="B82" i="1" s="1"/>
  <c r="C83" i="5"/>
  <c r="B83" i="1" s="1"/>
  <c r="C84" i="5"/>
  <c r="B84" i="1" s="1"/>
  <c r="C85" i="5"/>
  <c r="B85" i="1" s="1"/>
  <c r="C86" i="5"/>
  <c r="B86" i="1" s="1"/>
  <c r="C87" i="5"/>
  <c r="B87" i="1" s="1"/>
  <c r="C88" i="5"/>
  <c r="B88" i="1" s="1"/>
  <c r="C89" i="5"/>
  <c r="B89" i="1" s="1"/>
  <c r="C90" i="5"/>
  <c r="B90" i="1" s="1"/>
  <c r="C91" i="5"/>
  <c r="B91" i="1" s="1"/>
  <c r="C92" i="5"/>
  <c r="B92" i="1" s="1"/>
  <c r="C93" i="5"/>
  <c r="B93" i="1" s="1"/>
  <c r="C94" i="5"/>
  <c r="B94" i="1" s="1"/>
  <c r="C95" i="5"/>
  <c r="B95" i="1" s="1"/>
  <c r="C96" i="5"/>
  <c r="B96" i="1" s="1"/>
  <c r="C97" i="5"/>
  <c r="B97" i="1" s="1"/>
  <c r="C98" i="5"/>
  <c r="B98" i="1" s="1"/>
  <c r="C99" i="5"/>
  <c r="B99" i="1" s="1"/>
  <c r="C100" i="5"/>
  <c r="B100" i="1" s="1"/>
  <c r="C101" i="5"/>
  <c r="B101" i="1" s="1"/>
  <c r="C102" i="5"/>
  <c r="B102" i="1" s="1"/>
  <c r="C103" i="5"/>
  <c r="B103" i="1" s="1"/>
  <c r="C104" i="5"/>
  <c r="B104" i="1" s="1"/>
  <c r="C105" i="5"/>
  <c r="B105" i="1" s="1"/>
  <c r="C106" i="5"/>
  <c r="B106" i="1" s="1"/>
  <c r="C107" i="5"/>
  <c r="B107" i="1" s="1"/>
  <c r="C108" i="5"/>
  <c r="B108" i="1" s="1"/>
  <c r="C109" i="5"/>
  <c r="B109" i="1" s="1"/>
  <c r="C110" i="5"/>
  <c r="B110" i="1" s="1"/>
  <c r="C111" i="5"/>
  <c r="B111" i="1" s="1"/>
  <c r="C112" i="5"/>
  <c r="B112" i="1" s="1"/>
  <c r="C113" i="5"/>
  <c r="B113" i="1" s="1"/>
  <c r="C114" i="5"/>
  <c r="B114" i="1" s="1"/>
  <c r="C115" i="5"/>
  <c r="B115" i="1" s="1"/>
  <c r="C116" i="5"/>
  <c r="B116" i="1" s="1"/>
  <c r="C117" i="5"/>
  <c r="B117" i="1" s="1"/>
  <c r="C118" i="5"/>
  <c r="B118" i="1" s="1"/>
  <c r="C119" i="5"/>
  <c r="B119" i="1" s="1"/>
  <c r="C120" i="5"/>
  <c r="B120" i="1" s="1"/>
  <c r="C121" i="5"/>
  <c r="B121" i="1" s="1"/>
  <c r="C122" i="5"/>
  <c r="B122" i="1" s="1"/>
  <c r="C123" i="5"/>
  <c r="B123" i="1" s="1"/>
  <c r="C124" i="5"/>
  <c r="B124" i="1" s="1"/>
  <c r="C125" i="5"/>
  <c r="B125" i="1" s="1"/>
  <c r="C126" i="5"/>
  <c r="B126" i="1" s="1"/>
  <c r="C127" i="5"/>
  <c r="B127" i="1" s="1"/>
  <c r="C128" i="5"/>
  <c r="B128" i="1" s="1"/>
  <c r="C129" i="5"/>
  <c r="B129" i="1" s="1"/>
  <c r="C130" i="5"/>
  <c r="B130" i="1" s="1"/>
  <c r="C131" i="5"/>
  <c r="B131" i="1" s="1"/>
  <c r="C132" i="5"/>
  <c r="B132" i="1" s="1"/>
  <c r="C133" i="5"/>
  <c r="B133" i="1" s="1"/>
  <c r="C134" i="5"/>
  <c r="B134" i="1" s="1"/>
  <c r="C135" i="5"/>
  <c r="B135" i="1" s="1"/>
  <c r="C136" i="5"/>
  <c r="B136" i="1" s="1"/>
  <c r="C137" i="5"/>
  <c r="B137" i="1" s="1"/>
  <c r="C138" i="5"/>
  <c r="B138" i="1" s="1"/>
  <c r="C139" i="5"/>
  <c r="B139" i="1" s="1"/>
  <c r="C140" i="5"/>
  <c r="B140" i="1" s="1"/>
  <c r="C141" i="5"/>
  <c r="B141" i="1" s="1"/>
  <c r="C142" i="5"/>
  <c r="B142" i="1" s="1"/>
  <c r="C143" i="5"/>
  <c r="B143" i="1" s="1"/>
  <c r="C144" i="5"/>
  <c r="B144" i="1" s="1"/>
  <c r="C145" i="5"/>
  <c r="B145" i="1" s="1"/>
  <c r="C146" i="5"/>
  <c r="B146" i="1" s="1"/>
  <c r="C147" i="5"/>
  <c r="B147" i="1" s="1"/>
  <c r="C148" i="5"/>
  <c r="B148" i="1" s="1"/>
  <c r="C149" i="5"/>
  <c r="B149" i="1" s="1"/>
  <c r="C150" i="5"/>
  <c r="B150" i="1" s="1"/>
  <c r="C151" i="5"/>
  <c r="B151" i="1" s="1"/>
  <c r="C152" i="5"/>
  <c r="B152" i="1" s="1"/>
  <c r="C153" i="5"/>
  <c r="B153" i="1" s="1"/>
  <c r="C154" i="5"/>
  <c r="B154" i="1" s="1"/>
  <c r="C155" i="5"/>
  <c r="B155" i="1" s="1"/>
  <c r="C156" i="5"/>
  <c r="B156" i="1" s="1"/>
  <c r="C157" i="5"/>
  <c r="B157" i="1" s="1"/>
  <c r="C158" i="5"/>
  <c r="B158" i="1" s="1"/>
  <c r="C159" i="5"/>
  <c r="B159" i="1" s="1"/>
  <c r="C160" i="5"/>
  <c r="B160" i="1" s="1"/>
  <c r="C161" i="5"/>
  <c r="B161" i="1" s="1"/>
  <c r="C162" i="5"/>
  <c r="B162" i="1" s="1"/>
  <c r="C163" i="5"/>
  <c r="B163" i="1" s="1"/>
  <c r="C164" i="5"/>
  <c r="B164" i="1" s="1"/>
  <c r="C165" i="5"/>
  <c r="B165" i="1" s="1"/>
  <c r="C166" i="5"/>
  <c r="B166" i="1" s="1"/>
  <c r="C167" i="5"/>
  <c r="B167" i="1" s="1"/>
  <c r="C168" i="5"/>
  <c r="B168" i="1" s="1"/>
  <c r="C169" i="5"/>
  <c r="B169" i="1" s="1"/>
  <c r="C170" i="5"/>
  <c r="B170" i="1" s="1"/>
  <c r="C171" i="5"/>
  <c r="B171" i="1" s="1"/>
  <c r="C172" i="5"/>
  <c r="B172" i="1" s="1"/>
  <c r="C173" i="5"/>
  <c r="B173" i="1" s="1"/>
  <c r="C174" i="5"/>
  <c r="B174" i="1" s="1"/>
  <c r="C175" i="5"/>
  <c r="B175" i="1" s="1"/>
  <c r="C176" i="5"/>
  <c r="B176" i="1" s="1"/>
  <c r="C177" i="5"/>
  <c r="B177" i="1" s="1"/>
  <c r="C178" i="5"/>
  <c r="B178" i="1" s="1"/>
  <c r="C179" i="5"/>
  <c r="B179" i="1" s="1"/>
  <c r="C180" i="5"/>
  <c r="B180" i="1" s="1"/>
  <c r="C181" i="5"/>
  <c r="B181" i="1" s="1"/>
  <c r="C182" i="5"/>
  <c r="B182" i="1" s="1"/>
  <c r="C183" i="5"/>
  <c r="B183" i="1" s="1"/>
  <c r="C184" i="5"/>
  <c r="B184" i="1" s="1"/>
  <c r="C185" i="5"/>
  <c r="B185" i="1" s="1"/>
  <c r="C186" i="5"/>
  <c r="B186" i="1" s="1"/>
  <c r="C187" i="5"/>
  <c r="B187" i="1" s="1"/>
  <c r="C188" i="5"/>
  <c r="B188" i="1" s="1"/>
  <c r="C189" i="5"/>
  <c r="B189" i="1" s="1"/>
  <c r="C190" i="5"/>
  <c r="B190" i="1" s="1"/>
  <c r="C191" i="5"/>
  <c r="B191" i="1" s="1"/>
  <c r="C192" i="5"/>
  <c r="B192" i="1" s="1"/>
  <c r="C193" i="5"/>
  <c r="B193" i="1" s="1"/>
  <c r="C194" i="5"/>
  <c r="B194" i="1" s="1"/>
  <c r="C195" i="5"/>
  <c r="B195" i="1" s="1"/>
  <c r="C196" i="5"/>
  <c r="B196" i="1" s="1"/>
  <c r="C197" i="5"/>
  <c r="B197" i="1" s="1"/>
  <c r="C198" i="5"/>
  <c r="B198" i="1" s="1"/>
  <c r="C199" i="5"/>
  <c r="B199" i="1" s="1"/>
  <c r="C200" i="5"/>
  <c r="B200" i="1" s="1"/>
  <c r="C201" i="5"/>
  <c r="B201" i="1" s="1"/>
  <c r="C202" i="5"/>
  <c r="B202" i="1" s="1"/>
  <c r="C203" i="5"/>
  <c r="B203" i="1" s="1"/>
  <c r="C204" i="5"/>
  <c r="B204" i="1" s="1"/>
  <c r="C205" i="5"/>
  <c r="B205" i="1" s="1"/>
  <c r="C206" i="5"/>
  <c r="B206" i="1" s="1"/>
  <c r="C207" i="5"/>
  <c r="B207" i="1" s="1"/>
  <c r="C208" i="5"/>
  <c r="B208" i="1" s="1"/>
  <c r="C209" i="5"/>
  <c r="B209" i="1" s="1"/>
  <c r="C210" i="5"/>
  <c r="B210" i="1" s="1"/>
  <c r="C211" i="5"/>
  <c r="B211" i="1" s="1"/>
  <c r="C212" i="5"/>
  <c r="B212" i="1" s="1"/>
  <c r="C213" i="5"/>
  <c r="B213" i="1" s="1"/>
  <c r="C214" i="5"/>
  <c r="B214" i="1" s="1"/>
  <c r="C215" i="5"/>
  <c r="B215" i="1" s="1"/>
  <c r="C216" i="5"/>
  <c r="B216" i="1" s="1"/>
  <c r="C217" i="5"/>
  <c r="B217" i="1" s="1"/>
  <c r="C218" i="5"/>
  <c r="B218" i="1" s="1"/>
  <c r="C219" i="5"/>
  <c r="B219" i="1" s="1"/>
  <c r="C220" i="5"/>
  <c r="B220" i="1" s="1"/>
  <c r="C221" i="5"/>
  <c r="B221" i="1" s="1"/>
  <c r="C222" i="5"/>
  <c r="B222" i="1" s="1"/>
  <c r="C223" i="5"/>
  <c r="B223" i="1" s="1"/>
  <c r="C224" i="5"/>
  <c r="B224" i="1" s="1"/>
  <c r="C225" i="5"/>
  <c r="B225" i="1" s="1"/>
  <c r="D2" i="5"/>
  <c r="C2" i="1" s="1"/>
  <c r="D3" i="5"/>
  <c r="C3" i="1" s="1"/>
  <c r="D4" i="5"/>
  <c r="C4" i="1" s="1"/>
  <c r="D5" i="5"/>
  <c r="C5" i="1" s="1"/>
  <c r="D6" i="5"/>
  <c r="C6" i="1" s="1"/>
  <c r="D7" i="5"/>
  <c r="C7" i="1" s="1"/>
  <c r="D8" i="5"/>
  <c r="C8" i="1" s="1"/>
  <c r="D9" i="5"/>
  <c r="C9" i="1" s="1"/>
  <c r="D10" i="5"/>
  <c r="C10" i="1" s="1"/>
  <c r="D11" i="5"/>
  <c r="C11" i="1" s="1"/>
  <c r="D12" i="5"/>
  <c r="C12" i="1" s="1"/>
  <c r="D13" i="5"/>
  <c r="C13" i="1" s="1"/>
  <c r="D14" i="5"/>
  <c r="C14" i="1" s="1"/>
  <c r="D15" i="5"/>
  <c r="C15" i="1" s="1"/>
  <c r="D16" i="5"/>
  <c r="C16" i="1" s="1"/>
  <c r="D17" i="5"/>
  <c r="C17" i="1" s="1"/>
  <c r="D18" i="5"/>
  <c r="C18" i="1" s="1"/>
  <c r="D19" i="5"/>
  <c r="C19" i="1" s="1"/>
  <c r="D20" i="5"/>
  <c r="C20" i="1" s="1"/>
  <c r="D21" i="5"/>
  <c r="C21" i="1" s="1"/>
  <c r="D22" i="5"/>
  <c r="C22" i="1" s="1"/>
  <c r="D23" i="5"/>
  <c r="C23" i="1" s="1"/>
  <c r="D24" i="5"/>
  <c r="C24" i="1" s="1"/>
  <c r="D25" i="5"/>
  <c r="C25" i="1" s="1"/>
  <c r="D26" i="5"/>
  <c r="C26" i="1" s="1"/>
  <c r="D27" i="5"/>
  <c r="C27" i="1" s="1"/>
  <c r="D28" i="5"/>
  <c r="C28" i="1" s="1"/>
  <c r="D29" i="5"/>
  <c r="C29" i="1" s="1"/>
  <c r="D30" i="5"/>
  <c r="C30" i="1" s="1"/>
  <c r="D31" i="5"/>
  <c r="C31" i="1" s="1"/>
  <c r="D32" i="5"/>
  <c r="C32" i="1" s="1"/>
  <c r="D33" i="5"/>
  <c r="C33" i="1" s="1"/>
  <c r="D34" i="5"/>
  <c r="C34" i="1" s="1"/>
  <c r="D35" i="5"/>
  <c r="C35" i="1" s="1"/>
  <c r="D36" i="5"/>
  <c r="C36" i="1" s="1"/>
  <c r="D37" i="5"/>
  <c r="C37" i="1" s="1"/>
  <c r="D38" i="5"/>
  <c r="C38" i="1" s="1"/>
  <c r="D39" i="5"/>
  <c r="C39" i="1" s="1"/>
  <c r="D40" i="5"/>
  <c r="C40" i="1" s="1"/>
  <c r="D41" i="5"/>
  <c r="C41" i="1" s="1"/>
  <c r="D42" i="5"/>
  <c r="C42" i="1" s="1"/>
  <c r="D43" i="5"/>
  <c r="C43" i="1" s="1"/>
  <c r="D44" i="5"/>
  <c r="C44" i="1" s="1"/>
  <c r="D45" i="5"/>
  <c r="C45" i="1" s="1"/>
  <c r="D46" i="5"/>
  <c r="C46" i="1" s="1"/>
  <c r="D47" i="5"/>
  <c r="C47" i="1" s="1"/>
  <c r="D48" i="5"/>
  <c r="C48" i="1" s="1"/>
  <c r="D49" i="5"/>
  <c r="C49" i="1" s="1"/>
  <c r="D50" i="5"/>
  <c r="C50" i="1" s="1"/>
  <c r="D51" i="5"/>
  <c r="C51" i="1" s="1"/>
  <c r="D52" i="5"/>
  <c r="C52" i="1" s="1"/>
  <c r="D53" i="5"/>
  <c r="C53" i="1" s="1"/>
  <c r="D54" i="5"/>
  <c r="C54" i="1" s="1"/>
  <c r="D55" i="5"/>
  <c r="C55" i="1" s="1"/>
  <c r="D56" i="5"/>
  <c r="C56" i="1" s="1"/>
  <c r="D57" i="5"/>
  <c r="C57" i="1" s="1"/>
  <c r="D58" i="5"/>
  <c r="C58" i="1" s="1"/>
  <c r="D59" i="5"/>
  <c r="C59" i="1" s="1"/>
  <c r="D60" i="5"/>
  <c r="C60" i="1" s="1"/>
  <c r="D61" i="5"/>
  <c r="C61" i="1" s="1"/>
  <c r="D62" i="5"/>
  <c r="C62" i="1" s="1"/>
  <c r="D63" i="5"/>
  <c r="C63" i="1" s="1"/>
  <c r="D64" i="5"/>
  <c r="C64" i="1" s="1"/>
  <c r="D65" i="5"/>
  <c r="C65" i="1" s="1"/>
  <c r="D66" i="5"/>
  <c r="C66" i="1" s="1"/>
  <c r="D67" i="5"/>
  <c r="C67" i="1" s="1"/>
  <c r="D68" i="5"/>
  <c r="C68" i="1" s="1"/>
  <c r="D69" i="5"/>
  <c r="C69" i="1" s="1"/>
  <c r="D70" i="5"/>
  <c r="C70" i="1" s="1"/>
  <c r="D71" i="5"/>
  <c r="C71" i="1" s="1"/>
  <c r="D72" i="5"/>
  <c r="C72" i="1" s="1"/>
  <c r="D73" i="5"/>
  <c r="C73" i="1" s="1"/>
  <c r="D74" i="5"/>
  <c r="C74" i="1" s="1"/>
  <c r="D75" i="5"/>
  <c r="C75" i="1" s="1"/>
  <c r="D76" i="5"/>
  <c r="C76" i="1" s="1"/>
  <c r="D77" i="5"/>
  <c r="C77" i="1" s="1"/>
  <c r="D78" i="5"/>
  <c r="C78" i="1" s="1"/>
  <c r="D79" i="5"/>
  <c r="C79" i="1" s="1"/>
  <c r="D80" i="5"/>
  <c r="C80" i="1" s="1"/>
  <c r="D81" i="5"/>
  <c r="C81" i="1" s="1"/>
  <c r="D82" i="5"/>
  <c r="C82" i="1" s="1"/>
  <c r="D83" i="5"/>
  <c r="C83" i="1" s="1"/>
  <c r="D84" i="5"/>
  <c r="C84" i="1" s="1"/>
  <c r="D85" i="5"/>
  <c r="C85" i="1" s="1"/>
  <c r="D86" i="5"/>
  <c r="C86" i="1" s="1"/>
  <c r="D87" i="5"/>
  <c r="C87" i="1" s="1"/>
  <c r="D88" i="5"/>
  <c r="C88" i="1" s="1"/>
  <c r="D89" i="5"/>
  <c r="C89" i="1" s="1"/>
  <c r="D90" i="5"/>
  <c r="C90" i="1" s="1"/>
  <c r="D91" i="5"/>
  <c r="C91" i="1" s="1"/>
  <c r="D92" i="5"/>
  <c r="C92" i="1" s="1"/>
  <c r="D93" i="5"/>
  <c r="C93" i="1" s="1"/>
  <c r="D94" i="5"/>
  <c r="C94" i="1" s="1"/>
  <c r="D95" i="5"/>
  <c r="C95" i="1" s="1"/>
  <c r="D96" i="5"/>
  <c r="C96" i="1" s="1"/>
  <c r="D97" i="5"/>
  <c r="C97" i="1" s="1"/>
  <c r="D98" i="5"/>
  <c r="C98" i="1" s="1"/>
  <c r="D99" i="5"/>
  <c r="C99" i="1" s="1"/>
  <c r="D100" i="5"/>
  <c r="C100" i="1" s="1"/>
  <c r="D101" i="5"/>
  <c r="C101" i="1" s="1"/>
  <c r="D102" i="5"/>
  <c r="C102" i="1" s="1"/>
  <c r="D103" i="5"/>
  <c r="C103" i="1" s="1"/>
  <c r="D104" i="5"/>
  <c r="C104" i="1" s="1"/>
  <c r="D105" i="5"/>
  <c r="C105" i="1" s="1"/>
  <c r="D106" i="5"/>
  <c r="C106" i="1" s="1"/>
  <c r="D107" i="5"/>
  <c r="C107" i="1" s="1"/>
  <c r="D108" i="5"/>
  <c r="C108" i="1" s="1"/>
  <c r="D109" i="5"/>
  <c r="C109" i="1" s="1"/>
  <c r="D110" i="5"/>
  <c r="C110" i="1" s="1"/>
  <c r="D111" i="5"/>
  <c r="C111" i="1" s="1"/>
  <c r="D112" i="5"/>
  <c r="C112" i="1" s="1"/>
  <c r="D113" i="5"/>
  <c r="C113" i="1" s="1"/>
  <c r="D114" i="5"/>
  <c r="C114" i="1" s="1"/>
  <c r="D115" i="5"/>
  <c r="C115" i="1" s="1"/>
  <c r="D116" i="5"/>
  <c r="C116" i="1" s="1"/>
  <c r="D117" i="5"/>
  <c r="C117" i="1" s="1"/>
  <c r="D118" i="5"/>
  <c r="C118" i="1" s="1"/>
  <c r="D119" i="5"/>
  <c r="C119" i="1" s="1"/>
  <c r="D120" i="5"/>
  <c r="C120" i="1" s="1"/>
  <c r="D121" i="5"/>
  <c r="C121" i="1" s="1"/>
  <c r="D122" i="5"/>
  <c r="C122" i="1" s="1"/>
  <c r="D123" i="5"/>
  <c r="C123" i="1" s="1"/>
  <c r="D124" i="5"/>
  <c r="C124" i="1" s="1"/>
  <c r="D125" i="5"/>
  <c r="C125" i="1" s="1"/>
  <c r="D126" i="5"/>
  <c r="C126" i="1" s="1"/>
  <c r="D127" i="5"/>
  <c r="C127" i="1" s="1"/>
  <c r="D128" i="5"/>
  <c r="C128" i="1" s="1"/>
  <c r="D129" i="5"/>
  <c r="C129" i="1" s="1"/>
  <c r="D130" i="5"/>
  <c r="C130" i="1" s="1"/>
  <c r="D131" i="5"/>
  <c r="C131" i="1" s="1"/>
  <c r="D132" i="5"/>
  <c r="C132" i="1" s="1"/>
  <c r="D133" i="5"/>
  <c r="C133" i="1" s="1"/>
  <c r="D134" i="5"/>
  <c r="C134" i="1" s="1"/>
  <c r="D135" i="5"/>
  <c r="C135" i="1" s="1"/>
  <c r="D136" i="5"/>
  <c r="C136" i="1" s="1"/>
  <c r="D137" i="5"/>
  <c r="C137" i="1" s="1"/>
  <c r="D138" i="5"/>
  <c r="C138" i="1" s="1"/>
  <c r="D139" i="5"/>
  <c r="C139" i="1" s="1"/>
  <c r="D140" i="5"/>
  <c r="C140" i="1" s="1"/>
  <c r="D141" i="5"/>
  <c r="C141" i="1" s="1"/>
  <c r="D142" i="5"/>
  <c r="C142" i="1" s="1"/>
  <c r="D143" i="5"/>
  <c r="C143" i="1" s="1"/>
  <c r="D144" i="5"/>
  <c r="C144" i="1" s="1"/>
  <c r="D145" i="5"/>
  <c r="C145" i="1" s="1"/>
  <c r="D146" i="5"/>
  <c r="C146" i="1" s="1"/>
  <c r="D147" i="5"/>
  <c r="C147" i="1" s="1"/>
  <c r="D148" i="5"/>
  <c r="C148" i="1" s="1"/>
  <c r="D149" i="5"/>
  <c r="C149" i="1" s="1"/>
  <c r="D150" i="5"/>
  <c r="C150" i="1" s="1"/>
  <c r="D151" i="5"/>
  <c r="C151" i="1" s="1"/>
  <c r="D152" i="5"/>
  <c r="C152" i="1" s="1"/>
  <c r="D153" i="5"/>
  <c r="C153" i="1" s="1"/>
  <c r="D154" i="5"/>
  <c r="C154" i="1" s="1"/>
  <c r="D155" i="5"/>
  <c r="C155" i="1" s="1"/>
  <c r="D156" i="5"/>
  <c r="C156" i="1" s="1"/>
  <c r="D157" i="5"/>
  <c r="C157" i="1" s="1"/>
  <c r="D158" i="5"/>
  <c r="C158" i="1" s="1"/>
  <c r="D159" i="5"/>
  <c r="C159" i="1" s="1"/>
  <c r="D160" i="5"/>
  <c r="C160" i="1" s="1"/>
  <c r="D161" i="5"/>
  <c r="C161" i="1" s="1"/>
  <c r="D162" i="5"/>
  <c r="C162" i="1" s="1"/>
  <c r="D163" i="5"/>
  <c r="C163" i="1" s="1"/>
  <c r="D164" i="5"/>
  <c r="C164" i="1" s="1"/>
  <c r="D165" i="5"/>
  <c r="C165" i="1" s="1"/>
  <c r="D166" i="5"/>
  <c r="C166" i="1" s="1"/>
  <c r="D167" i="5"/>
  <c r="C167" i="1" s="1"/>
  <c r="D168" i="5"/>
  <c r="C168" i="1" s="1"/>
  <c r="D169" i="5"/>
  <c r="C169" i="1" s="1"/>
  <c r="D170" i="5"/>
  <c r="C170" i="1" s="1"/>
  <c r="D171" i="5"/>
  <c r="C171" i="1" s="1"/>
  <c r="D172" i="5"/>
  <c r="C172" i="1" s="1"/>
  <c r="D173" i="5"/>
  <c r="C173" i="1" s="1"/>
  <c r="D174" i="5"/>
  <c r="C174" i="1" s="1"/>
  <c r="D175" i="5"/>
  <c r="C175" i="1" s="1"/>
  <c r="D176" i="5"/>
  <c r="C176" i="1" s="1"/>
  <c r="D177" i="5"/>
  <c r="C177" i="1" s="1"/>
  <c r="D178" i="5"/>
  <c r="C178" i="1" s="1"/>
  <c r="D179" i="5"/>
  <c r="C179" i="1" s="1"/>
  <c r="D180" i="5"/>
  <c r="C180" i="1" s="1"/>
  <c r="D181" i="5"/>
  <c r="C181" i="1" s="1"/>
  <c r="D182" i="5"/>
  <c r="C182" i="1" s="1"/>
  <c r="D183" i="5"/>
  <c r="C183" i="1" s="1"/>
  <c r="D184" i="5"/>
  <c r="C184" i="1" s="1"/>
  <c r="D185" i="5"/>
  <c r="C185" i="1" s="1"/>
  <c r="D186" i="5"/>
  <c r="C186" i="1" s="1"/>
  <c r="D187" i="5"/>
  <c r="C187" i="1" s="1"/>
  <c r="D188" i="5"/>
  <c r="C188" i="1" s="1"/>
  <c r="D189" i="5"/>
  <c r="C189" i="1" s="1"/>
  <c r="D190" i="5"/>
  <c r="C190" i="1" s="1"/>
  <c r="D191" i="5"/>
  <c r="C191" i="1" s="1"/>
  <c r="D192" i="5"/>
  <c r="C192" i="1" s="1"/>
  <c r="D193" i="5"/>
  <c r="C193" i="1" s="1"/>
  <c r="D194" i="5"/>
  <c r="C194" i="1" s="1"/>
  <c r="D195" i="5"/>
  <c r="C195" i="1" s="1"/>
  <c r="D196" i="5"/>
  <c r="C196" i="1" s="1"/>
  <c r="D197" i="5"/>
  <c r="C197" i="1" s="1"/>
  <c r="D198" i="5"/>
  <c r="C198" i="1" s="1"/>
  <c r="D199" i="5"/>
  <c r="C199" i="1" s="1"/>
  <c r="D200" i="5"/>
  <c r="C200" i="1" s="1"/>
  <c r="D201" i="5"/>
  <c r="C201" i="1" s="1"/>
  <c r="D202" i="5"/>
  <c r="C202" i="1" s="1"/>
  <c r="D203" i="5"/>
  <c r="C203" i="1" s="1"/>
  <c r="D204" i="5"/>
  <c r="C204" i="1" s="1"/>
  <c r="D205" i="5"/>
  <c r="C205" i="1" s="1"/>
  <c r="D206" i="5"/>
  <c r="C206" i="1" s="1"/>
  <c r="D207" i="5"/>
  <c r="C207" i="1" s="1"/>
  <c r="D208" i="5"/>
  <c r="C208" i="1" s="1"/>
  <c r="D209" i="5"/>
  <c r="C209" i="1" s="1"/>
  <c r="D210" i="5"/>
  <c r="C210" i="1" s="1"/>
  <c r="D211" i="5"/>
  <c r="C211" i="1" s="1"/>
  <c r="D212" i="5"/>
  <c r="C212" i="1" s="1"/>
  <c r="D213" i="5"/>
  <c r="C213" i="1" s="1"/>
  <c r="D214" i="5"/>
  <c r="C214" i="1" s="1"/>
  <c r="D215" i="5"/>
  <c r="C215" i="1" s="1"/>
  <c r="D216" i="5"/>
  <c r="C216" i="1" s="1"/>
  <c r="D217" i="5"/>
  <c r="C217" i="1" s="1"/>
  <c r="D218" i="5"/>
  <c r="C218" i="1" s="1"/>
  <c r="D219" i="5"/>
  <c r="C219" i="1" s="1"/>
  <c r="D220" i="5"/>
  <c r="C220" i="1" s="1"/>
  <c r="D221" i="5"/>
  <c r="C221" i="1" s="1"/>
  <c r="D222" i="5"/>
  <c r="C222" i="1" s="1"/>
  <c r="D223" i="5"/>
  <c r="C223" i="1" s="1"/>
  <c r="D224" i="5"/>
  <c r="C224" i="1" s="1"/>
  <c r="D225" i="5"/>
  <c r="C225" i="1" s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" i="1"/>
  <c r="I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J2" i="5"/>
  <c r="E2" i="1" s="1"/>
  <c r="D2" i="1" s="1"/>
  <c r="J3" i="5"/>
  <c r="E3" i="1" s="1"/>
  <c r="D3" i="1" s="1"/>
  <c r="J4" i="5"/>
  <c r="E4" i="1" s="1"/>
  <c r="D4" i="1" s="1"/>
  <c r="J9" i="5"/>
  <c r="E9" i="1" s="1"/>
  <c r="J10" i="5"/>
  <c r="E10" i="1" s="1"/>
  <c r="D10" i="1" s="1"/>
  <c r="J11" i="5"/>
  <c r="E11" i="1" s="1"/>
  <c r="D11" i="1" s="1"/>
  <c r="J12" i="5"/>
  <c r="E12" i="1" s="1"/>
  <c r="D12" i="1" s="1"/>
  <c r="J14" i="5"/>
  <c r="E14" i="1" s="1"/>
  <c r="D14" i="1" s="1"/>
  <c r="J15" i="5"/>
  <c r="E15" i="1" s="1"/>
  <c r="D15" i="1" s="1"/>
  <c r="J16" i="5"/>
  <c r="E16" i="1" s="1"/>
  <c r="D16" i="1" s="1"/>
  <c r="J17" i="5"/>
  <c r="E17" i="1" s="1"/>
  <c r="D17" i="1" s="1"/>
  <c r="J18" i="5"/>
  <c r="E18" i="1" s="1"/>
  <c r="J19" i="5"/>
  <c r="J20" i="5"/>
  <c r="J21" i="5"/>
  <c r="E21" i="1" s="1"/>
  <c r="J24" i="5"/>
  <c r="E24" i="1" s="1"/>
  <c r="J25" i="5"/>
  <c r="J26" i="5"/>
  <c r="J27" i="5"/>
  <c r="E27" i="1" s="1"/>
  <c r="J28" i="5"/>
  <c r="E28" i="1" s="1"/>
  <c r="J29" i="5"/>
  <c r="J30" i="5"/>
  <c r="J31" i="5"/>
  <c r="E31" i="1" s="1"/>
  <c r="D31" i="1" s="1"/>
  <c r="J32" i="5"/>
  <c r="E32" i="1" s="1"/>
  <c r="J33" i="5"/>
  <c r="E33" i="1" s="1"/>
  <c r="J34" i="5"/>
  <c r="E34" i="1" s="1"/>
  <c r="J36" i="5"/>
  <c r="E36" i="1" s="1"/>
  <c r="D36" i="1" s="1"/>
  <c r="J39" i="5"/>
  <c r="E39" i="1" s="1"/>
  <c r="D39" i="1" s="1"/>
  <c r="J40" i="5"/>
  <c r="J41" i="5"/>
  <c r="J42" i="5"/>
  <c r="J43" i="5"/>
  <c r="E43" i="1" s="1"/>
  <c r="D43" i="1" s="1"/>
  <c r="J44" i="5"/>
  <c r="J46" i="5"/>
  <c r="E46" i="1" s="1"/>
  <c r="D46" i="1" s="1"/>
  <c r="J51" i="5"/>
  <c r="E51" i="1" s="1"/>
  <c r="D51" i="1" s="1"/>
  <c r="J52" i="5"/>
  <c r="E52" i="1" s="1"/>
  <c r="D52" i="1" s="1"/>
  <c r="J53" i="5"/>
  <c r="E53" i="1" s="1"/>
  <c r="D53" i="1" s="1"/>
  <c r="J57" i="5"/>
  <c r="E57" i="1" s="1"/>
  <c r="J58" i="5"/>
  <c r="E58" i="1" s="1"/>
  <c r="D58" i="1" s="1"/>
  <c r="J59" i="5"/>
  <c r="E59" i="1" s="1"/>
  <c r="J60" i="5"/>
  <c r="J64" i="5"/>
  <c r="J67" i="5"/>
  <c r="E67" i="1" s="1"/>
  <c r="J69" i="5"/>
  <c r="E69" i="1" s="1"/>
  <c r="D69" i="1" s="1"/>
  <c r="J70" i="5"/>
  <c r="J71" i="5"/>
  <c r="E71" i="1" s="1"/>
  <c r="D71" i="1" s="1"/>
  <c r="J72" i="5"/>
  <c r="E72" i="1" s="1"/>
  <c r="D72" i="1" s="1"/>
  <c r="J73" i="5"/>
  <c r="E73" i="1" s="1"/>
  <c r="D73" i="1" s="1"/>
  <c r="J74" i="5"/>
  <c r="E74" i="1" s="1"/>
  <c r="D74" i="1" s="1"/>
  <c r="J75" i="5"/>
  <c r="E75" i="1" s="1"/>
  <c r="D75" i="1" s="1"/>
  <c r="J76" i="5"/>
  <c r="E76" i="1" s="1"/>
  <c r="D76" i="1" s="1"/>
  <c r="J77" i="5"/>
  <c r="E77" i="1" s="1"/>
  <c r="D77" i="1" s="1"/>
  <c r="J79" i="5"/>
  <c r="E79" i="1" s="1"/>
  <c r="D79" i="1" s="1"/>
  <c r="J81" i="5"/>
  <c r="E81" i="1" s="1"/>
  <c r="D81" i="1" s="1"/>
  <c r="J83" i="5"/>
  <c r="E83" i="1" s="1"/>
  <c r="J84" i="5"/>
  <c r="E84" i="1" s="1"/>
  <c r="J85" i="5"/>
  <c r="E85" i="1" s="1"/>
  <c r="J86" i="5"/>
  <c r="E86" i="1" s="1"/>
  <c r="D86" i="1" s="1"/>
  <c r="J87" i="5"/>
  <c r="E87" i="1" s="1"/>
  <c r="J90" i="5"/>
  <c r="E90" i="1" s="1"/>
  <c r="D90" i="1" s="1"/>
  <c r="J92" i="5"/>
  <c r="E92" i="1" s="1"/>
  <c r="D92" i="1" s="1"/>
  <c r="J93" i="5"/>
  <c r="E93" i="1" s="1"/>
  <c r="J94" i="5"/>
  <c r="E94" i="1" s="1"/>
  <c r="J96" i="5"/>
  <c r="E96" i="1" s="1"/>
  <c r="J97" i="5"/>
  <c r="E97" i="1" s="1"/>
  <c r="J98" i="5"/>
  <c r="E98" i="1" s="1"/>
  <c r="D98" i="1" s="1"/>
  <c r="J99" i="5"/>
  <c r="E99" i="1" s="1"/>
  <c r="J102" i="5"/>
  <c r="E102" i="1" s="1"/>
  <c r="D102" i="1" s="1"/>
  <c r="J103" i="5"/>
  <c r="E103" i="1" s="1"/>
  <c r="D103" i="1" s="1"/>
  <c r="J104" i="5"/>
  <c r="E104" i="1" s="1"/>
  <c r="D104" i="1" s="1"/>
  <c r="J105" i="5"/>
  <c r="E105" i="1" s="1"/>
  <c r="D105" i="1" s="1"/>
  <c r="J106" i="5"/>
  <c r="E106" i="1" s="1"/>
  <c r="D106" i="1" s="1"/>
  <c r="J108" i="5"/>
  <c r="E108" i="1" s="1"/>
  <c r="D108" i="1" s="1"/>
  <c r="J109" i="5"/>
  <c r="J110" i="5"/>
  <c r="E110" i="1" s="1"/>
  <c r="D110" i="1" s="1"/>
  <c r="J111" i="5"/>
  <c r="E111" i="1" s="1"/>
  <c r="D111" i="1" s="1"/>
  <c r="J112" i="5"/>
  <c r="E112" i="1" s="1"/>
  <c r="D112" i="1" s="1"/>
  <c r="J113" i="5"/>
  <c r="E113" i="1" s="1"/>
  <c r="D113" i="1" s="1"/>
  <c r="J114" i="5"/>
  <c r="E114" i="1" s="1"/>
  <c r="D114" i="1" s="1"/>
  <c r="J115" i="5"/>
  <c r="E115" i="1" s="1"/>
  <c r="D115" i="1" s="1"/>
  <c r="J116" i="5"/>
  <c r="E116" i="1" s="1"/>
  <c r="D116" i="1" s="1"/>
  <c r="J117" i="5"/>
  <c r="E117" i="1" s="1"/>
  <c r="D117" i="1" s="1"/>
  <c r="J118" i="5"/>
  <c r="E118" i="1" s="1"/>
  <c r="D118" i="1" s="1"/>
  <c r="J119" i="5"/>
  <c r="E119" i="1" s="1"/>
  <c r="D119" i="1" s="1"/>
  <c r="J120" i="5"/>
  <c r="E120" i="1" s="1"/>
  <c r="D120" i="1" s="1"/>
  <c r="J122" i="5"/>
  <c r="E122" i="1" s="1"/>
  <c r="D122" i="1" s="1"/>
  <c r="J123" i="5"/>
  <c r="E123" i="1" s="1"/>
  <c r="D123" i="1" s="1"/>
  <c r="J124" i="5"/>
  <c r="E124" i="1" s="1"/>
  <c r="D124" i="1" s="1"/>
  <c r="J125" i="5"/>
  <c r="E125" i="1" s="1"/>
  <c r="D125" i="1" s="1"/>
  <c r="J127" i="5"/>
  <c r="J129" i="5"/>
  <c r="E129" i="1" s="1"/>
  <c r="D129" i="1" s="1"/>
  <c r="J132" i="5"/>
  <c r="E132" i="1" s="1"/>
  <c r="D132" i="1" s="1"/>
  <c r="J133" i="5"/>
  <c r="E133" i="1" s="1"/>
  <c r="D133" i="1" s="1"/>
  <c r="J134" i="5"/>
  <c r="E134" i="1" s="1"/>
  <c r="D134" i="1" s="1"/>
  <c r="J135" i="5"/>
  <c r="E135" i="1" s="1"/>
  <c r="D135" i="1" s="1"/>
  <c r="J136" i="5"/>
  <c r="E136" i="1" s="1"/>
  <c r="D136" i="1" s="1"/>
  <c r="J137" i="5"/>
  <c r="E137" i="1" s="1"/>
  <c r="D137" i="1" s="1"/>
  <c r="J140" i="5"/>
  <c r="E140" i="1" s="1"/>
  <c r="D140" i="1" s="1"/>
  <c r="J142" i="5"/>
  <c r="E142" i="1" s="1"/>
  <c r="D142" i="1" s="1"/>
  <c r="J143" i="5"/>
  <c r="E143" i="1" s="1"/>
  <c r="D143" i="1" s="1"/>
  <c r="J144" i="5"/>
  <c r="E144" i="1" s="1"/>
  <c r="D144" i="1" s="1"/>
  <c r="J147" i="5"/>
  <c r="E147" i="1" s="1"/>
  <c r="D147" i="1" s="1"/>
  <c r="J148" i="5"/>
  <c r="E148" i="1" s="1"/>
  <c r="D148" i="1" s="1"/>
  <c r="J151" i="5"/>
  <c r="E151" i="1" s="1"/>
  <c r="D151" i="1" s="1"/>
  <c r="J152" i="5"/>
  <c r="E152" i="1" s="1"/>
  <c r="D152" i="1" s="1"/>
  <c r="J153" i="5"/>
  <c r="E153" i="1" s="1"/>
  <c r="D153" i="1" s="1"/>
  <c r="J157" i="5"/>
  <c r="E157" i="1" s="1"/>
  <c r="D157" i="1" s="1"/>
  <c r="J158" i="5"/>
  <c r="E158" i="1" s="1"/>
  <c r="D158" i="1" s="1"/>
  <c r="J160" i="5"/>
  <c r="E160" i="1" s="1"/>
  <c r="D160" i="1" s="1"/>
  <c r="J162" i="5"/>
  <c r="E162" i="1" s="1"/>
  <c r="D162" i="1" s="1"/>
  <c r="J164" i="5"/>
  <c r="E164" i="1" s="1"/>
  <c r="D164" i="1" s="1"/>
  <c r="J165" i="5"/>
  <c r="E165" i="1" s="1"/>
  <c r="D165" i="1" s="1"/>
  <c r="J166" i="5"/>
  <c r="E166" i="1" s="1"/>
  <c r="D166" i="1" s="1"/>
  <c r="J167" i="5"/>
  <c r="E167" i="1" s="1"/>
  <c r="D167" i="1" s="1"/>
  <c r="J170" i="5"/>
  <c r="E170" i="1" s="1"/>
  <c r="D170" i="1" s="1"/>
  <c r="J171" i="5"/>
  <c r="E171" i="1" s="1"/>
  <c r="D171" i="1" s="1"/>
  <c r="J172" i="5"/>
  <c r="E172" i="1" s="1"/>
  <c r="D172" i="1" s="1"/>
  <c r="J173" i="5"/>
  <c r="E173" i="1" s="1"/>
  <c r="D173" i="1" s="1"/>
  <c r="J174" i="5"/>
  <c r="E174" i="1" s="1"/>
  <c r="D174" i="1" s="1"/>
  <c r="J175" i="5"/>
  <c r="E175" i="1" s="1"/>
  <c r="D175" i="1" s="1"/>
  <c r="J176" i="5"/>
  <c r="E176" i="1" s="1"/>
  <c r="D176" i="1" s="1"/>
  <c r="J177" i="5"/>
  <c r="E177" i="1" s="1"/>
  <c r="D177" i="1" s="1"/>
  <c r="J178" i="5"/>
  <c r="E178" i="1" s="1"/>
  <c r="D178" i="1" s="1"/>
  <c r="J179" i="5"/>
  <c r="E179" i="1" s="1"/>
  <c r="D179" i="1" s="1"/>
  <c r="J180" i="5"/>
  <c r="E180" i="1" s="1"/>
  <c r="D180" i="1" s="1"/>
  <c r="J181" i="5"/>
  <c r="E181" i="1" s="1"/>
  <c r="D181" i="1" s="1"/>
  <c r="J183" i="5"/>
  <c r="E183" i="1" s="1"/>
  <c r="D183" i="1" s="1"/>
  <c r="J186" i="5"/>
  <c r="E186" i="1" s="1"/>
  <c r="D186" i="1" s="1"/>
  <c r="J187" i="5"/>
  <c r="E187" i="1" s="1"/>
  <c r="D187" i="1" s="1"/>
  <c r="J188" i="5"/>
  <c r="E188" i="1" s="1"/>
  <c r="D188" i="1" s="1"/>
  <c r="J191" i="5"/>
  <c r="E191" i="1" s="1"/>
  <c r="D191" i="1" s="1"/>
  <c r="J195" i="5"/>
  <c r="E195" i="1" s="1"/>
  <c r="D195" i="1" s="1"/>
  <c r="J196" i="5"/>
  <c r="E196" i="1" s="1"/>
  <c r="D196" i="1" s="1"/>
  <c r="J197" i="5"/>
  <c r="E197" i="1" s="1"/>
  <c r="D197" i="1" s="1"/>
  <c r="J199" i="5"/>
  <c r="E199" i="1" s="1"/>
  <c r="D199" i="1" s="1"/>
  <c r="J201" i="5"/>
  <c r="E201" i="1" s="1"/>
  <c r="D201" i="1" s="1"/>
  <c r="J203" i="5"/>
  <c r="E203" i="1" s="1"/>
  <c r="D203" i="1" s="1"/>
  <c r="J204" i="5"/>
  <c r="J205" i="5"/>
  <c r="E205" i="1" s="1"/>
  <c r="D205" i="1" s="1"/>
  <c r="J208" i="5"/>
  <c r="E208" i="1" s="1"/>
  <c r="D208" i="1" s="1"/>
  <c r="J209" i="5"/>
  <c r="J210" i="5"/>
  <c r="J212" i="5"/>
  <c r="E212" i="1" s="1"/>
  <c r="D212" i="1" s="1"/>
  <c r="J213" i="5"/>
  <c r="E213" i="1" s="1"/>
  <c r="D213" i="1" s="1"/>
  <c r="J215" i="5"/>
  <c r="E215" i="1" s="1"/>
  <c r="D215" i="1" s="1"/>
  <c r="J216" i="5"/>
  <c r="E216" i="1" s="1"/>
  <c r="D216" i="1" s="1"/>
  <c r="J217" i="5"/>
  <c r="E217" i="1" s="1"/>
  <c r="D217" i="1" s="1"/>
  <c r="J218" i="5"/>
  <c r="E218" i="1" s="1"/>
  <c r="D218" i="1" s="1"/>
  <c r="J223" i="5"/>
  <c r="E223" i="1" s="1"/>
  <c r="D223" i="1" s="1"/>
  <c r="J224" i="5"/>
  <c r="E224" i="1" s="1"/>
  <c r="D224" i="1" s="1"/>
  <c r="J225" i="5"/>
  <c r="E225" i="1" s="1"/>
  <c r="D225" i="1" s="1"/>
  <c r="F222" i="1"/>
  <c r="H222" i="1"/>
  <c r="J222" i="1" s="1"/>
  <c r="I222" i="1" s="1"/>
  <c r="F223" i="1"/>
  <c r="H223" i="1"/>
  <c r="J223" i="1" s="1"/>
  <c r="I223" i="1" s="1"/>
  <c r="F224" i="1"/>
  <c r="H224" i="1"/>
  <c r="J224" i="1" s="1"/>
  <c r="I224" i="1" s="1"/>
  <c r="F225" i="1"/>
  <c r="H225" i="1"/>
  <c r="J225" i="1" s="1"/>
  <c r="I225" i="1" s="1"/>
  <c r="F219" i="1"/>
  <c r="H219" i="1"/>
  <c r="J219" i="1" s="1"/>
  <c r="I219" i="1" s="1"/>
  <c r="F220" i="1"/>
  <c r="H220" i="1"/>
  <c r="J220" i="1" s="1"/>
  <c r="I220" i="1" s="1"/>
  <c r="F221" i="1"/>
  <c r="H221" i="1"/>
  <c r="J221" i="1" s="1"/>
  <c r="I221" i="1" s="1"/>
  <c r="E19" i="1"/>
  <c r="D19" i="1" s="1"/>
  <c r="E20" i="1"/>
  <c r="D20" i="1" s="1"/>
  <c r="E25" i="1"/>
  <c r="E26" i="1"/>
  <c r="D26" i="1" s="1"/>
  <c r="E29" i="1"/>
  <c r="D29" i="1" s="1"/>
  <c r="E30" i="1"/>
  <c r="D30" i="1" s="1"/>
  <c r="E40" i="1"/>
  <c r="D40" i="1" s="1"/>
  <c r="E41" i="1"/>
  <c r="E42" i="1"/>
  <c r="E44" i="1"/>
  <c r="D44" i="1" s="1"/>
  <c r="E60" i="1"/>
  <c r="E64" i="1"/>
  <c r="D64" i="1" s="1"/>
  <c r="E70" i="1"/>
  <c r="D70" i="1" s="1"/>
  <c r="E109" i="1"/>
  <c r="D109" i="1" s="1"/>
  <c r="E127" i="1"/>
  <c r="D127" i="1" s="1"/>
  <c r="E204" i="1"/>
  <c r="D204" i="1" s="1"/>
  <c r="E209" i="1"/>
  <c r="D209" i="1" s="1"/>
  <c r="E210" i="1"/>
  <c r="D210" i="1" s="1"/>
  <c r="H125" i="1"/>
  <c r="J125" i="1" s="1"/>
  <c r="I125" i="1" s="1"/>
  <c r="H126" i="1"/>
  <c r="J126" i="1" s="1"/>
  <c r="I126" i="1" s="1"/>
  <c r="H127" i="1"/>
  <c r="J127" i="1" s="1"/>
  <c r="I127" i="1" s="1"/>
  <c r="H128" i="1"/>
  <c r="J128" i="1" s="1"/>
  <c r="I128" i="1" s="1"/>
  <c r="H129" i="1"/>
  <c r="J129" i="1" s="1"/>
  <c r="I129" i="1" s="1"/>
  <c r="H130" i="1"/>
  <c r="J130" i="1" s="1"/>
  <c r="I130" i="1" s="1"/>
  <c r="H131" i="1"/>
  <c r="J131" i="1" s="1"/>
  <c r="I131" i="1" s="1"/>
  <c r="H132" i="1"/>
  <c r="J132" i="1" s="1"/>
  <c r="I132" i="1" s="1"/>
  <c r="H133" i="1"/>
  <c r="J133" i="1" s="1"/>
  <c r="I133" i="1" s="1"/>
  <c r="H134" i="1"/>
  <c r="J134" i="1" s="1"/>
  <c r="I134" i="1" s="1"/>
  <c r="H135" i="1"/>
  <c r="J135" i="1" s="1"/>
  <c r="I135" i="1" s="1"/>
  <c r="H136" i="1"/>
  <c r="J136" i="1" s="1"/>
  <c r="I136" i="1" s="1"/>
  <c r="H137" i="1"/>
  <c r="J137" i="1" s="1"/>
  <c r="I137" i="1" s="1"/>
  <c r="H138" i="1"/>
  <c r="J138" i="1" s="1"/>
  <c r="I138" i="1" s="1"/>
  <c r="H139" i="1"/>
  <c r="J139" i="1" s="1"/>
  <c r="I139" i="1" s="1"/>
  <c r="H140" i="1"/>
  <c r="J140" i="1" s="1"/>
  <c r="I140" i="1" s="1"/>
  <c r="H141" i="1"/>
  <c r="J141" i="1" s="1"/>
  <c r="I141" i="1" s="1"/>
  <c r="H142" i="1"/>
  <c r="J142" i="1" s="1"/>
  <c r="I142" i="1" s="1"/>
  <c r="H143" i="1"/>
  <c r="J143" i="1" s="1"/>
  <c r="I143" i="1" s="1"/>
  <c r="H144" i="1"/>
  <c r="J144" i="1" s="1"/>
  <c r="I144" i="1" s="1"/>
  <c r="H145" i="1"/>
  <c r="J145" i="1" s="1"/>
  <c r="I145" i="1" s="1"/>
  <c r="H146" i="1"/>
  <c r="J146" i="1" s="1"/>
  <c r="I146" i="1" s="1"/>
  <c r="H147" i="1"/>
  <c r="J147" i="1" s="1"/>
  <c r="I147" i="1" s="1"/>
  <c r="H148" i="1"/>
  <c r="J148" i="1" s="1"/>
  <c r="I148" i="1" s="1"/>
  <c r="H149" i="1"/>
  <c r="J149" i="1" s="1"/>
  <c r="I149" i="1" s="1"/>
  <c r="H150" i="1"/>
  <c r="J150" i="1" s="1"/>
  <c r="I150" i="1" s="1"/>
  <c r="H151" i="1"/>
  <c r="J151" i="1" s="1"/>
  <c r="I151" i="1" s="1"/>
  <c r="H152" i="1"/>
  <c r="J152" i="1" s="1"/>
  <c r="I152" i="1" s="1"/>
  <c r="H153" i="1"/>
  <c r="J153" i="1" s="1"/>
  <c r="I153" i="1" s="1"/>
  <c r="H154" i="1"/>
  <c r="J154" i="1" s="1"/>
  <c r="I154" i="1" s="1"/>
  <c r="H155" i="1"/>
  <c r="J155" i="1" s="1"/>
  <c r="I155" i="1" s="1"/>
  <c r="H156" i="1"/>
  <c r="J156" i="1" s="1"/>
  <c r="I156" i="1" s="1"/>
  <c r="H157" i="1"/>
  <c r="J157" i="1" s="1"/>
  <c r="I157" i="1" s="1"/>
  <c r="H158" i="1"/>
  <c r="J158" i="1" s="1"/>
  <c r="I158" i="1" s="1"/>
  <c r="H159" i="1"/>
  <c r="J159" i="1" s="1"/>
  <c r="I159" i="1" s="1"/>
  <c r="H160" i="1"/>
  <c r="J160" i="1" s="1"/>
  <c r="I160" i="1" s="1"/>
  <c r="H161" i="1"/>
  <c r="J161" i="1" s="1"/>
  <c r="I161" i="1" s="1"/>
  <c r="H162" i="1"/>
  <c r="J162" i="1" s="1"/>
  <c r="I162" i="1" s="1"/>
  <c r="H163" i="1"/>
  <c r="J163" i="1" s="1"/>
  <c r="I163" i="1" s="1"/>
  <c r="H164" i="1"/>
  <c r="J164" i="1" s="1"/>
  <c r="I164" i="1" s="1"/>
  <c r="H165" i="1"/>
  <c r="J165" i="1" s="1"/>
  <c r="I165" i="1" s="1"/>
  <c r="H166" i="1"/>
  <c r="J166" i="1" s="1"/>
  <c r="I166" i="1" s="1"/>
  <c r="H167" i="1"/>
  <c r="J167" i="1" s="1"/>
  <c r="I167" i="1" s="1"/>
  <c r="H168" i="1"/>
  <c r="J168" i="1" s="1"/>
  <c r="I168" i="1" s="1"/>
  <c r="H169" i="1"/>
  <c r="J169" i="1" s="1"/>
  <c r="I169" i="1" s="1"/>
  <c r="H170" i="1"/>
  <c r="J170" i="1" s="1"/>
  <c r="I170" i="1" s="1"/>
  <c r="H171" i="1"/>
  <c r="J171" i="1" s="1"/>
  <c r="I171" i="1" s="1"/>
  <c r="H172" i="1"/>
  <c r="J172" i="1" s="1"/>
  <c r="I172" i="1" s="1"/>
  <c r="H173" i="1"/>
  <c r="J173" i="1" s="1"/>
  <c r="I173" i="1" s="1"/>
  <c r="H174" i="1"/>
  <c r="J174" i="1" s="1"/>
  <c r="I174" i="1" s="1"/>
  <c r="H175" i="1"/>
  <c r="J175" i="1" s="1"/>
  <c r="I175" i="1" s="1"/>
  <c r="H176" i="1"/>
  <c r="J176" i="1" s="1"/>
  <c r="I176" i="1" s="1"/>
  <c r="H177" i="1"/>
  <c r="J177" i="1" s="1"/>
  <c r="I177" i="1" s="1"/>
  <c r="H178" i="1"/>
  <c r="J178" i="1" s="1"/>
  <c r="I178" i="1" s="1"/>
  <c r="H179" i="1"/>
  <c r="J179" i="1" s="1"/>
  <c r="I179" i="1" s="1"/>
  <c r="H180" i="1"/>
  <c r="J180" i="1" s="1"/>
  <c r="I180" i="1" s="1"/>
  <c r="H181" i="1"/>
  <c r="J181" i="1" s="1"/>
  <c r="I181" i="1" s="1"/>
  <c r="H182" i="1"/>
  <c r="J182" i="1" s="1"/>
  <c r="I182" i="1" s="1"/>
  <c r="H183" i="1"/>
  <c r="J183" i="1" s="1"/>
  <c r="I183" i="1" s="1"/>
  <c r="H184" i="1"/>
  <c r="J184" i="1" s="1"/>
  <c r="I184" i="1" s="1"/>
  <c r="H185" i="1"/>
  <c r="J185" i="1" s="1"/>
  <c r="I185" i="1" s="1"/>
  <c r="H186" i="1"/>
  <c r="J186" i="1" s="1"/>
  <c r="I186" i="1" s="1"/>
  <c r="H187" i="1"/>
  <c r="J187" i="1" s="1"/>
  <c r="I187" i="1" s="1"/>
  <c r="H188" i="1"/>
  <c r="J188" i="1" s="1"/>
  <c r="I188" i="1" s="1"/>
  <c r="H189" i="1"/>
  <c r="J189" i="1" s="1"/>
  <c r="I189" i="1" s="1"/>
  <c r="H190" i="1"/>
  <c r="J190" i="1" s="1"/>
  <c r="I190" i="1" s="1"/>
  <c r="H191" i="1"/>
  <c r="J191" i="1" s="1"/>
  <c r="I191" i="1" s="1"/>
  <c r="H192" i="1"/>
  <c r="J192" i="1" s="1"/>
  <c r="I192" i="1" s="1"/>
  <c r="H193" i="1"/>
  <c r="J193" i="1" s="1"/>
  <c r="I193" i="1" s="1"/>
  <c r="H194" i="1"/>
  <c r="J194" i="1" s="1"/>
  <c r="I194" i="1" s="1"/>
  <c r="H195" i="1"/>
  <c r="J195" i="1" s="1"/>
  <c r="I195" i="1" s="1"/>
  <c r="H196" i="1"/>
  <c r="J196" i="1" s="1"/>
  <c r="I196" i="1" s="1"/>
  <c r="H197" i="1"/>
  <c r="J197" i="1" s="1"/>
  <c r="I197" i="1" s="1"/>
  <c r="H198" i="1"/>
  <c r="J198" i="1" s="1"/>
  <c r="I198" i="1" s="1"/>
  <c r="H199" i="1"/>
  <c r="J199" i="1" s="1"/>
  <c r="I199" i="1" s="1"/>
  <c r="H200" i="1"/>
  <c r="J200" i="1" s="1"/>
  <c r="I200" i="1" s="1"/>
  <c r="H201" i="1"/>
  <c r="J201" i="1" s="1"/>
  <c r="I201" i="1" s="1"/>
  <c r="H202" i="1"/>
  <c r="J202" i="1" s="1"/>
  <c r="I202" i="1" s="1"/>
  <c r="H203" i="1"/>
  <c r="J203" i="1" s="1"/>
  <c r="I203" i="1" s="1"/>
  <c r="H204" i="1"/>
  <c r="J204" i="1" s="1"/>
  <c r="I204" i="1" s="1"/>
  <c r="H205" i="1"/>
  <c r="J205" i="1" s="1"/>
  <c r="I205" i="1" s="1"/>
  <c r="H206" i="1"/>
  <c r="J206" i="1" s="1"/>
  <c r="I206" i="1" s="1"/>
  <c r="H207" i="1"/>
  <c r="J207" i="1" s="1"/>
  <c r="I207" i="1" s="1"/>
  <c r="H208" i="1"/>
  <c r="J208" i="1" s="1"/>
  <c r="I208" i="1" s="1"/>
  <c r="H209" i="1"/>
  <c r="J209" i="1" s="1"/>
  <c r="I209" i="1" s="1"/>
  <c r="H210" i="1"/>
  <c r="J210" i="1" s="1"/>
  <c r="I210" i="1" s="1"/>
  <c r="H211" i="1"/>
  <c r="J211" i="1" s="1"/>
  <c r="I211" i="1" s="1"/>
  <c r="H212" i="1"/>
  <c r="J212" i="1" s="1"/>
  <c r="I212" i="1" s="1"/>
  <c r="H213" i="1"/>
  <c r="J213" i="1" s="1"/>
  <c r="I213" i="1" s="1"/>
  <c r="H214" i="1"/>
  <c r="J214" i="1" s="1"/>
  <c r="I214" i="1" s="1"/>
  <c r="H215" i="1"/>
  <c r="J215" i="1" s="1"/>
  <c r="I215" i="1" s="1"/>
  <c r="H216" i="1"/>
  <c r="J216" i="1" s="1"/>
  <c r="I216" i="1" s="1"/>
  <c r="H217" i="1"/>
  <c r="J217" i="1" s="1"/>
  <c r="I217" i="1" s="1"/>
  <c r="H218" i="1"/>
  <c r="J218" i="1" s="1"/>
  <c r="I218" i="1" s="1"/>
  <c r="H116" i="1"/>
  <c r="J116" i="1" s="1"/>
  <c r="I116" i="1" s="1"/>
  <c r="H117" i="1"/>
  <c r="J117" i="1" s="1"/>
  <c r="I117" i="1" s="1"/>
  <c r="H118" i="1"/>
  <c r="J118" i="1" s="1"/>
  <c r="I118" i="1" s="1"/>
  <c r="H119" i="1"/>
  <c r="J119" i="1" s="1"/>
  <c r="I119" i="1" s="1"/>
  <c r="H120" i="1"/>
  <c r="J120" i="1" s="1"/>
  <c r="I120" i="1" s="1"/>
  <c r="H121" i="1"/>
  <c r="J121" i="1" s="1"/>
  <c r="I121" i="1" s="1"/>
  <c r="H122" i="1"/>
  <c r="J122" i="1" s="1"/>
  <c r="I122" i="1" s="1"/>
  <c r="H123" i="1"/>
  <c r="J123" i="1" s="1"/>
  <c r="I123" i="1" s="1"/>
  <c r="H124" i="1"/>
  <c r="J124" i="1" s="1"/>
  <c r="I124" i="1" s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116" i="1"/>
  <c r="F117" i="1"/>
  <c r="F118" i="1"/>
  <c r="F119" i="1"/>
  <c r="F120" i="1"/>
  <c r="F121" i="1"/>
  <c r="F122" i="1"/>
  <c r="F123" i="1"/>
  <c r="F124" i="1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P5" i="5"/>
  <c r="P4" i="5"/>
  <c r="P3" i="5"/>
  <c r="P2" i="5"/>
  <c r="H3" i="1"/>
  <c r="J3" i="1" s="1"/>
  <c r="I3" i="1" s="1"/>
  <c r="H4" i="1"/>
  <c r="J4" i="1" s="1"/>
  <c r="I4" i="1" s="1"/>
  <c r="H5" i="1"/>
  <c r="J5" i="1" s="1"/>
  <c r="I5" i="1" s="1"/>
  <c r="H6" i="1"/>
  <c r="J6" i="1" s="1"/>
  <c r="I6" i="1" s="1"/>
  <c r="H7" i="1"/>
  <c r="J7" i="1" s="1"/>
  <c r="I7" i="1" s="1"/>
  <c r="H8" i="1"/>
  <c r="J8" i="1" s="1"/>
  <c r="I8" i="1" s="1"/>
  <c r="H9" i="1"/>
  <c r="J9" i="1" s="1"/>
  <c r="I9" i="1" s="1"/>
  <c r="H10" i="1"/>
  <c r="J10" i="1" s="1"/>
  <c r="I10" i="1" s="1"/>
  <c r="H11" i="1"/>
  <c r="J11" i="1" s="1"/>
  <c r="I11" i="1" s="1"/>
  <c r="H12" i="1"/>
  <c r="J12" i="1" s="1"/>
  <c r="I12" i="1" s="1"/>
  <c r="H13" i="1"/>
  <c r="J13" i="1" s="1"/>
  <c r="I13" i="1" s="1"/>
  <c r="H14" i="1"/>
  <c r="J14" i="1" s="1"/>
  <c r="I14" i="1" s="1"/>
  <c r="H15" i="1"/>
  <c r="J15" i="1" s="1"/>
  <c r="I15" i="1" s="1"/>
  <c r="H16" i="1"/>
  <c r="J16" i="1" s="1"/>
  <c r="I16" i="1" s="1"/>
  <c r="H17" i="1"/>
  <c r="J17" i="1" s="1"/>
  <c r="I17" i="1" s="1"/>
  <c r="H18" i="1"/>
  <c r="J18" i="1" s="1"/>
  <c r="I18" i="1" s="1"/>
  <c r="H19" i="1"/>
  <c r="J19" i="1" s="1"/>
  <c r="I19" i="1" s="1"/>
  <c r="H20" i="1"/>
  <c r="J20" i="1" s="1"/>
  <c r="I20" i="1" s="1"/>
  <c r="H21" i="1"/>
  <c r="J21" i="1" s="1"/>
  <c r="I21" i="1" s="1"/>
  <c r="H22" i="1"/>
  <c r="J22" i="1" s="1"/>
  <c r="I22" i="1" s="1"/>
  <c r="H23" i="1"/>
  <c r="J23" i="1" s="1"/>
  <c r="I23" i="1" s="1"/>
  <c r="H24" i="1"/>
  <c r="J24" i="1" s="1"/>
  <c r="I24" i="1" s="1"/>
  <c r="H25" i="1"/>
  <c r="J25" i="1" s="1"/>
  <c r="I25" i="1" s="1"/>
  <c r="H26" i="1"/>
  <c r="J26" i="1" s="1"/>
  <c r="I26" i="1" s="1"/>
  <c r="H27" i="1"/>
  <c r="J27" i="1" s="1"/>
  <c r="I27" i="1" s="1"/>
  <c r="H28" i="1"/>
  <c r="J28" i="1" s="1"/>
  <c r="I28" i="1" s="1"/>
  <c r="H29" i="1"/>
  <c r="J29" i="1" s="1"/>
  <c r="I29" i="1" s="1"/>
  <c r="H30" i="1"/>
  <c r="J30" i="1" s="1"/>
  <c r="I30" i="1" s="1"/>
  <c r="H31" i="1"/>
  <c r="J31" i="1" s="1"/>
  <c r="I31" i="1" s="1"/>
  <c r="H32" i="1"/>
  <c r="J32" i="1" s="1"/>
  <c r="I32" i="1" s="1"/>
  <c r="H33" i="1"/>
  <c r="J33" i="1" s="1"/>
  <c r="I33" i="1" s="1"/>
  <c r="H34" i="1"/>
  <c r="J34" i="1" s="1"/>
  <c r="I34" i="1" s="1"/>
  <c r="H35" i="1"/>
  <c r="J35" i="1" s="1"/>
  <c r="I35" i="1" s="1"/>
  <c r="H36" i="1"/>
  <c r="J36" i="1" s="1"/>
  <c r="I36" i="1" s="1"/>
  <c r="H37" i="1"/>
  <c r="J37" i="1" s="1"/>
  <c r="I37" i="1" s="1"/>
  <c r="H38" i="1"/>
  <c r="J38" i="1" s="1"/>
  <c r="I38" i="1" s="1"/>
  <c r="H39" i="1"/>
  <c r="J39" i="1" s="1"/>
  <c r="I39" i="1" s="1"/>
  <c r="H40" i="1"/>
  <c r="J40" i="1" s="1"/>
  <c r="I40" i="1" s="1"/>
  <c r="H41" i="1"/>
  <c r="J41" i="1" s="1"/>
  <c r="I41" i="1" s="1"/>
  <c r="H42" i="1"/>
  <c r="J42" i="1" s="1"/>
  <c r="I42" i="1" s="1"/>
  <c r="H43" i="1"/>
  <c r="J43" i="1" s="1"/>
  <c r="I43" i="1" s="1"/>
  <c r="H44" i="1"/>
  <c r="J44" i="1" s="1"/>
  <c r="I44" i="1" s="1"/>
  <c r="H45" i="1"/>
  <c r="J45" i="1" s="1"/>
  <c r="I45" i="1" s="1"/>
  <c r="H46" i="1"/>
  <c r="J46" i="1" s="1"/>
  <c r="I46" i="1" s="1"/>
  <c r="H47" i="1"/>
  <c r="J47" i="1" s="1"/>
  <c r="I47" i="1" s="1"/>
  <c r="H48" i="1"/>
  <c r="J48" i="1" s="1"/>
  <c r="I48" i="1" s="1"/>
  <c r="H49" i="1"/>
  <c r="J49" i="1" s="1"/>
  <c r="I49" i="1" s="1"/>
  <c r="H50" i="1"/>
  <c r="J50" i="1" s="1"/>
  <c r="I50" i="1" s="1"/>
  <c r="H51" i="1"/>
  <c r="J51" i="1" s="1"/>
  <c r="I51" i="1" s="1"/>
  <c r="H52" i="1"/>
  <c r="J52" i="1" s="1"/>
  <c r="I52" i="1" s="1"/>
  <c r="H53" i="1"/>
  <c r="J53" i="1" s="1"/>
  <c r="I53" i="1" s="1"/>
  <c r="H54" i="1"/>
  <c r="J54" i="1" s="1"/>
  <c r="I54" i="1" s="1"/>
  <c r="H55" i="1"/>
  <c r="J55" i="1" s="1"/>
  <c r="I55" i="1" s="1"/>
  <c r="H56" i="1"/>
  <c r="J56" i="1" s="1"/>
  <c r="I56" i="1" s="1"/>
  <c r="H57" i="1"/>
  <c r="J57" i="1" s="1"/>
  <c r="I57" i="1" s="1"/>
  <c r="H58" i="1"/>
  <c r="J58" i="1" s="1"/>
  <c r="I58" i="1" s="1"/>
  <c r="H59" i="1"/>
  <c r="J59" i="1" s="1"/>
  <c r="I59" i="1" s="1"/>
  <c r="H60" i="1"/>
  <c r="J60" i="1" s="1"/>
  <c r="I60" i="1" s="1"/>
  <c r="H61" i="1"/>
  <c r="J61" i="1" s="1"/>
  <c r="I61" i="1" s="1"/>
  <c r="H62" i="1"/>
  <c r="J62" i="1" s="1"/>
  <c r="I62" i="1" s="1"/>
  <c r="H63" i="1"/>
  <c r="J63" i="1" s="1"/>
  <c r="I63" i="1" s="1"/>
  <c r="H64" i="1"/>
  <c r="J64" i="1" s="1"/>
  <c r="I64" i="1" s="1"/>
  <c r="H65" i="1"/>
  <c r="J65" i="1" s="1"/>
  <c r="I65" i="1" s="1"/>
  <c r="H66" i="1"/>
  <c r="J66" i="1" s="1"/>
  <c r="I66" i="1" s="1"/>
  <c r="H67" i="1"/>
  <c r="J67" i="1" s="1"/>
  <c r="I67" i="1" s="1"/>
  <c r="H68" i="1"/>
  <c r="J68" i="1" s="1"/>
  <c r="I68" i="1" s="1"/>
  <c r="H69" i="1"/>
  <c r="J69" i="1" s="1"/>
  <c r="I69" i="1" s="1"/>
  <c r="H70" i="1"/>
  <c r="J70" i="1" s="1"/>
  <c r="I70" i="1" s="1"/>
  <c r="H71" i="1"/>
  <c r="J71" i="1" s="1"/>
  <c r="I71" i="1" s="1"/>
  <c r="H72" i="1"/>
  <c r="J72" i="1" s="1"/>
  <c r="I72" i="1" s="1"/>
  <c r="H73" i="1"/>
  <c r="J73" i="1" s="1"/>
  <c r="I73" i="1" s="1"/>
  <c r="H74" i="1"/>
  <c r="J74" i="1" s="1"/>
  <c r="I74" i="1" s="1"/>
  <c r="H75" i="1"/>
  <c r="J75" i="1" s="1"/>
  <c r="I75" i="1" s="1"/>
  <c r="H76" i="1"/>
  <c r="J76" i="1" s="1"/>
  <c r="I76" i="1" s="1"/>
  <c r="H77" i="1"/>
  <c r="J77" i="1" s="1"/>
  <c r="I77" i="1" s="1"/>
  <c r="H78" i="1"/>
  <c r="J78" i="1" s="1"/>
  <c r="I78" i="1" s="1"/>
  <c r="H79" i="1"/>
  <c r="J79" i="1" s="1"/>
  <c r="I79" i="1" s="1"/>
  <c r="H80" i="1"/>
  <c r="J80" i="1" s="1"/>
  <c r="I80" i="1" s="1"/>
  <c r="H81" i="1"/>
  <c r="J81" i="1" s="1"/>
  <c r="I81" i="1" s="1"/>
  <c r="H82" i="1"/>
  <c r="J82" i="1" s="1"/>
  <c r="I82" i="1" s="1"/>
  <c r="H83" i="1"/>
  <c r="J83" i="1" s="1"/>
  <c r="I83" i="1" s="1"/>
  <c r="H84" i="1"/>
  <c r="J84" i="1" s="1"/>
  <c r="I84" i="1" s="1"/>
  <c r="H85" i="1"/>
  <c r="J85" i="1" s="1"/>
  <c r="I85" i="1" s="1"/>
  <c r="H86" i="1"/>
  <c r="J86" i="1" s="1"/>
  <c r="I86" i="1" s="1"/>
  <c r="H87" i="1"/>
  <c r="J87" i="1" s="1"/>
  <c r="I87" i="1" s="1"/>
  <c r="H88" i="1"/>
  <c r="J88" i="1" s="1"/>
  <c r="I88" i="1" s="1"/>
  <c r="H89" i="1"/>
  <c r="J89" i="1" s="1"/>
  <c r="I89" i="1" s="1"/>
  <c r="H90" i="1"/>
  <c r="J90" i="1" s="1"/>
  <c r="I90" i="1" s="1"/>
  <c r="H91" i="1"/>
  <c r="J91" i="1" s="1"/>
  <c r="I91" i="1" s="1"/>
  <c r="H92" i="1"/>
  <c r="J92" i="1" s="1"/>
  <c r="I92" i="1" s="1"/>
  <c r="H93" i="1"/>
  <c r="J93" i="1" s="1"/>
  <c r="I93" i="1" s="1"/>
  <c r="H94" i="1"/>
  <c r="J94" i="1" s="1"/>
  <c r="I94" i="1" s="1"/>
  <c r="H95" i="1"/>
  <c r="J95" i="1" s="1"/>
  <c r="I95" i="1" s="1"/>
  <c r="H96" i="1"/>
  <c r="J96" i="1" s="1"/>
  <c r="I96" i="1" s="1"/>
  <c r="H97" i="1"/>
  <c r="J97" i="1" s="1"/>
  <c r="I97" i="1" s="1"/>
  <c r="H98" i="1"/>
  <c r="J98" i="1" s="1"/>
  <c r="I98" i="1" s="1"/>
  <c r="H99" i="1"/>
  <c r="J99" i="1" s="1"/>
  <c r="I99" i="1" s="1"/>
  <c r="H100" i="1"/>
  <c r="J100" i="1" s="1"/>
  <c r="I100" i="1" s="1"/>
  <c r="H101" i="1"/>
  <c r="J101" i="1" s="1"/>
  <c r="I101" i="1" s="1"/>
  <c r="H102" i="1"/>
  <c r="J102" i="1" s="1"/>
  <c r="I102" i="1" s="1"/>
  <c r="H103" i="1"/>
  <c r="J103" i="1" s="1"/>
  <c r="I103" i="1" s="1"/>
  <c r="H104" i="1"/>
  <c r="J104" i="1" s="1"/>
  <c r="I104" i="1" s="1"/>
  <c r="H105" i="1"/>
  <c r="J105" i="1" s="1"/>
  <c r="I105" i="1" s="1"/>
  <c r="H106" i="1"/>
  <c r="J106" i="1" s="1"/>
  <c r="I106" i="1" s="1"/>
  <c r="H107" i="1"/>
  <c r="J107" i="1" s="1"/>
  <c r="I107" i="1" s="1"/>
  <c r="H108" i="1"/>
  <c r="J108" i="1" s="1"/>
  <c r="I108" i="1" s="1"/>
  <c r="H109" i="1"/>
  <c r="J109" i="1" s="1"/>
  <c r="I109" i="1" s="1"/>
  <c r="H110" i="1"/>
  <c r="J110" i="1" s="1"/>
  <c r="I110" i="1" s="1"/>
  <c r="H111" i="1"/>
  <c r="J111" i="1" s="1"/>
  <c r="I111" i="1" s="1"/>
  <c r="H112" i="1"/>
  <c r="J112" i="1" s="1"/>
  <c r="I112" i="1" s="1"/>
  <c r="H113" i="1"/>
  <c r="J113" i="1" s="1"/>
  <c r="I113" i="1" s="1"/>
  <c r="H114" i="1"/>
  <c r="J114" i="1" s="1"/>
  <c r="I114" i="1" s="1"/>
  <c r="H115" i="1"/>
  <c r="J115" i="1" s="1"/>
  <c r="I115" i="1" s="1"/>
  <c r="H2" i="1"/>
  <c r="J2" i="1" s="1"/>
  <c r="I2" i="1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2" i="1"/>
  <c r="G228" i="1" l="1"/>
  <c r="G227" i="1"/>
  <c r="G226" i="1"/>
  <c r="G111" i="1"/>
  <c r="G99" i="1"/>
  <c r="G91" i="1"/>
  <c r="G79" i="1"/>
  <c r="G67" i="1"/>
  <c r="G55" i="1"/>
  <c r="G31" i="1"/>
  <c r="G107" i="1"/>
  <c r="G95" i="1"/>
  <c r="G87" i="1"/>
  <c r="G75" i="1"/>
  <c r="G63" i="1"/>
  <c r="G51" i="1"/>
  <c r="G43" i="1"/>
  <c r="G23" i="1"/>
  <c r="G7" i="1"/>
  <c r="G118" i="1"/>
  <c r="G213" i="1"/>
  <c r="G205" i="1"/>
  <c r="G197" i="1"/>
  <c r="G189" i="1"/>
  <c r="G181" i="1"/>
  <c r="G173" i="1"/>
  <c r="G165" i="1"/>
  <c r="G157" i="1"/>
  <c r="G149" i="1"/>
  <c r="G145" i="1"/>
  <c r="G137" i="1"/>
  <c r="G133" i="1"/>
  <c r="G129" i="1"/>
  <c r="G125" i="1"/>
  <c r="G223" i="1"/>
  <c r="J141" i="5"/>
  <c r="E141" i="1" s="1"/>
  <c r="D141" i="1" s="1"/>
  <c r="G110" i="1"/>
  <c r="G102" i="1"/>
  <c r="G94" i="1"/>
  <c r="G86" i="1"/>
  <c r="G78" i="1"/>
  <c r="G70" i="1"/>
  <c r="G62" i="1"/>
  <c r="G54" i="1"/>
  <c r="G34" i="1"/>
  <c r="J82" i="5"/>
  <c r="E82" i="1" s="1"/>
  <c r="D82" i="1" s="1"/>
  <c r="J192" i="5"/>
  <c r="E192" i="1" s="1"/>
  <c r="D192" i="1" s="1"/>
  <c r="J156" i="5"/>
  <c r="E156" i="1" s="1"/>
  <c r="D156" i="1" s="1"/>
  <c r="J128" i="5"/>
  <c r="E128" i="1" s="1"/>
  <c r="D128" i="1" s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9" i="1"/>
  <c r="G5" i="1"/>
  <c r="G124" i="1"/>
  <c r="G120" i="1"/>
  <c r="G116" i="1"/>
  <c r="G215" i="1"/>
  <c r="G211" i="1"/>
  <c r="G207" i="1"/>
  <c r="G203" i="1"/>
  <c r="G199" i="1"/>
  <c r="G195" i="1"/>
  <c r="G191" i="1"/>
  <c r="G187" i="1"/>
  <c r="G183" i="1"/>
  <c r="G179" i="1"/>
  <c r="G175" i="1"/>
  <c r="G171" i="1"/>
  <c r="G167" i="1"/>
  <c r="G163" i="1"/>
  <c r="G159" i="1"/>
  <c r="G155" i="1"/>
  <c r="G151" i="1"/>
  <c r="G147" i="1"/>
  <c r="G143" i="1"/>
  <c r="G139" i="1"/>
  <c r="G135" i="1"/>
  <c r="G131" i="1"/>
  <c r="G127" i="1"/>
  <c r="G224" i="1"/>
  <c r="J155" i="5"/>
  <c r="E155" i="1" s="1"/>
  <c r="D155" i="1" s="1"/>
  <c r="J107" i="5"/>
  <c r="E107" i="1" s="1"/>
  <c r="D107" i="1" s="1"/>
  <c r="J63" i="5"/>
  <c r="E63" i="1" s="1"/>
  <c r="D63" i="1" s="1"/>
  <c r="G115" i="1"/>
  <c r="G103" i="1"/>
  <c r="G83" i="1"/>
  <c r="G71" i="1"/>
  <c r="G59" i="1"/>
  <c r="G47" i="1"/>
  <c r="G39" i="1"/>
  <c r="G35" i="1"/>
  <c r="G27" i="1"/>
  <c r="G19" i="1"/>
  <c r="G15" i="1"/>
  <c r="G11" i="1"/>
  <c r="G3" i="1"/>
  <c r="G122" i="1"/>
  <c r="G217" i="1"/>
  <c r="G209" i="1"/>
  <c r="G201" i="1"/>
  <c r="G193" i="1"/>
  <c r="G185" i="1"/>
  <c r="G177" i="1"/>
  <c r="G169" i="1"/>
  <c r="G161" i="1"/>
  <c r="G153" i="1"/>
  <c r="G141" i="1"/>
  <c r="J193" i="5"/>
  <c r="E193" i="1" s="1"/>
  <c r="D193" i="1" s="1"/>
  <c r="J61" i="5"/>
  <c r="E61" i="1" s="1"/>
  <c r="G114" i="1"/>
  <c r="G106" i="1"/>
  <c r="G98" i="1"/>
  <c r="G90" i="1"/>
  <c r="G82" i="1"/>
  <c r="G74" i="1"/>
  <c r="G66" i="1"/>
  <c r="G58" i="1"/>
  <c r="G50" i="1"/>
  <c r="G46" i="1"/>
  <c r="G42" i="1"/>
  <c r="G38" i="1"/>
  <c r="G30" i="1"/>
  <c r="G26" i="1"/>
  <c r="G22" i="1"/>
  <c r="G18" i="1"/>
  <c r="G14" i="1"/>
  <c r="G10" i="1"/>
  <c r="G6" i="1"/>
  <c r="G121" i="1"/>
  <c r="G117" i="1"/>
  <c r="G216" i="1"/>
  <c r="G212" i="1"/>
  <c r="G208" i="1"/>
  <c r="G204" i="1"/>
  <c r="G200" i="1"/>
  <c r="G196" i="1"/>
  <c r="G192" i="1"/>
  <c r="G188" i="1"/>
  <c r="G184" i="1"/>
  <c r="G180" i="1"/>
  <c r="G176" i="1"/>
  <c r="G172" i="1"/>
  <c r="G168" i="1"/>
  <c r="G164" i="1"/>
  <c r="G160" i="1"/>
  <c r="G156" i="1"/>
  <c r="G152" i="1"/>
  <c r="G148" i="1"/>
  <c r="G144" i="1"/>
  <c r="G140" i="1"/>
  <c r="G136" i="1"/>
  <c r="G132" i="1"/>
  <c r="G128" i="1"/>
  <c r="G221" i="1"/>
  <c r="G219" i="1"/>
  <c r="G2" i="1"/>
  <c r="G112" i="1"/>
  <c r="G108" i="1"/>
  <c r="G104" i="1"/>
  <c r="G100" i="1"/>
  <c r="G96" i="1"/>
  <c r="G92" i="1"/>
  <c r="G88" i="1"/>
  <c r="G84" i="1"/>
  <c r="G80" i="1"/>
  <c r="G76" i="1"/>
  <c r="G72" i="1"/>
  <c r="G68" i="1"/>
  <c r="G64" i="1"/>
  <c r="G60" i="1"/>
  <c r="G56" i="1"/>
  <c r="G52" i="1"/>
  <c r="G48" i="1"/>
  <c r="G44" i="1"/>
  <c r="G40" i="1"/>
  <c r="G36" i="1"/>
  <c r="G32" i="1"/>
  <c r="G28" i="1"/>
  <c r="G24" i="1"/>
  <c r="G20" i="1"/>
  <c r="G16" i="1"/>
  <c r="G12" i="1"/>
  <c r="G8" i="1"/>
  <c r="G4" i="1"/>
  <c r="G123" i="1"/>
  <c r="G119" i="1"/>
  <c r="G218" i="1"/>
  <c r="G214" i="1"/>
  <c r="G210" i="1"/>
  <c r="G206" i="1"/>
  <c r="G202" i="1"/>
  <c r="G198" i="1"/>
  <c r="G194" i="1"/>
  <c r="G190" i="1"/>
  <c r="G186" i="1"/>
  <c r="G182" i="1"/>
  <c r="G178" i="1"/>
  <c r="G174" i="1"/>
  <c r="G170" i="1"/>
  <c r="G166" i="1"/>
  <c r="G162" i="1"/>
  <c r="G158" i="1"/>
  <c r="G154" i="1"/>
  <c r="G150" i="1"/>
  <c r="G146" i="1"/>
  <c r="G142" i="1"/>
  <c r="G138" i="1"/>
  <c r="G134" i="1"/>
  <c r="G130" i="1"/>
  <c r="G126" i="1"/>
  <c r="G220" i="1"/>
  <c r="G225" i="1"/>
  <c r="G222" i="1"/>
  <c r="J194" i="5"/>
  <c r="E194" i="1" s="1"/>
  <c r="D194" i="1" s="1"/>
  <c r="J190" i="5"/>
  <c r="E190" i="1" s="1"/>
  <c r="D190" i="1" s="1"/>
  <c r="J150" i="5"/>
  <c r="E150" i="1" s="1"/>
  <c r="D150" i="1" s="1"/>
  <c r="J37" i="5"/>
  <c r="E37" i="1" s="1"/>
  <c r="D37" i="1" s="1"/>
  <c r="J35" i="5"/>
  <c r="E35" i="1" s="1"/>
  <c r="D35" i="1" s="1"/>
  <c r="J101" i="5"/>
  <c r="E101" i="1" s="1"/>
  <c r="D101" i="1" s="1"/>
  <c r="J200" i="5"/>
  <c r="E200" i="1" s="1"/>
  <c r="D200" i="1" s="1"/>
  <c r="J206" i="5"/>
  <c r="E206" i="1" s="1"/>
  <c r="D206" i="1" s="1"/>
  <c r="J184" i="5"/>
  <c r="E184" i="1" s="1"/>
  <c r="D184" i="1" s="1"/>
  <c r="J163" i="5"/>
  <c r="E163" i="1" s="1"/>
  <c r="D163" i="1" s="1"/>
  <c r="J95" i="5"/>
  <c r="E95" i="1" s="1"/>
  <c r="J80" i="5"/>
  <c r="E80" i="1" s="1"/>
  <c r="D80" i="1" s="1"/>
  <c r="J78" i="5"/>
  <c r="E78" i="1" s="1"/>
  <c r="D78" i="1" s="1"/>
  <c r="J182" i="5"/>
  <c r="E182" i="1" s="1"/>
  <c r="D182" i="1" s="1"/>
  <c r="J169" i="5"/>
  <c r="E169" i="1" s="1"/>
  <c r="D169" i="1" s="1"/>
  <c r="J168" i="5"/>
  <c r="E168" i="1" s="1"/>
  <c r="D168" i="1" s="1"/>
  <c r="J100" i="5"/>
  <c r="E100" i="1" s="1"/>
  <c r="D100" i="1" s="1"/>
  <c r="J56" i="5"/>
  <c r="E56" i="1" s="1"/>
  <c r="D56" i="1" s="1"/>
  <c r="J38" i="5"/>
  <c r="E38" i="1" s="1"/>
  <c r="D38" i="1" s="1"/>
  <c r="J50" i="5"/>
  <c r="E50" i="1" s="1"/>
  <c r="D50" i="1" s="1"/>
  <c r="J221" i="5"/>
  <c r="E221" i="1" s="1"/>
  <c r="D221" i="1" s="1"/>
  <c r="J202" i="5"/>
  <c r="E202" i="1" s="1"/>
  <c r="D202" i="1" s="1"/>
  <c r="J49" i="5"/>
  <c r="E49" i="1" s="1"/>
  <c r="D49" i="1" s="1"/>
  <c r="J8" i="5"/>
  <c r="E8" i="1" s="1"/>
  <c r="D8" i="1" s="1"/>
  <c r="J211" i="5"/>
  <c r="E211" i="1" s="1"/>
  <c r="D211" i="1" s="1"/>
  <c r="J91" i="5"/>
  <c r="E91" i="1" s="1"/>
  <c r="D91" i="1" s="1"/>
  <c r="J48" i="5"/>
  <c r="E48" i="1" s="1"/>
  <c r="D48" i="1" s="1"/>
  <c r="J7" i="5"/>
  <c r="E7" i="1" s="1"/>
  <c r="D7" i="1" s="1"/>
  <c r="J161" i="5"/>
  <c r="E161" i="1" s="1"/>
  <c r="D161" i="1" s="1"/>
  <c r="J139" i="5"/>
  <c r="E139" i="1" s="1"/>
  <c r="D139" i="1" s="1"/>
  <c r="J138" i="5"/>
  <c r="E138" i="1" s="1"/>
  <c r="D138" i="1" s="1"/>
  <c r="J185" i="5"/>
  <c r="E185" i="1" s="1"/>
  <c r="D185" i="1" s="1"/>
  <c r="J68" i="5"/>
  <c r="E68" i="1" s="1"/>
  <c r="D68" i="1" s="1"/>
  <c r="J47" i="5"/>
  <c r="E47" i="1" s="1"/>
  <c r="D47" i="1" s="1"/>
  <c r="J6" i="5"/>
  <c r="E6" i="1" s="1"/>
  <c r="D6" i="1" s="1"/>
  <c r="J189" i="5"/>
  <c r="E189" i="1" s="1"/>
  <c r="D189" i="1" s="1"/>
  <c r="J198" i="5"/>
  <c r="E198" i="1" s="1"/>
  <c r="D198" i="1" s="1"/>
  <c r="J89" i="5"/>
  <c r="E89" i="1" s="1"/>
  <c r="D89" i="1" s="1"/>
  <c r="J5" i="5"/>
  <c r="E5" i="1" s="1"/>
  <c r="D5" i="1" s="1"/>
  <c r="J220" i="5"/>
  <c r="E220" i="1" s="1"/>
  <c r="D220" i="1" s="1"/>
  <c r="J219" i="5"/>
  <c r="E219" i="1" s="1"/>
  <c r="D219" i="1" s="1"/>
  <c r="J13" i="5"/>
  <c r="E13" i="1" s="1"/>
  <c r="D13" i="1" s="1"/>
  <c r="J222" i="5"/>
  <c r="E222" i="1" s="1"/>
  <c r="D222" i="1" s="1"/>
  <c r="J154" i="5"/>
  <c r="E154" i="1" s="1"/>
  <c r="D154" i="1" s="1"/>
  <c r="J131" i="5"/>
  <c r="E131" i="1" s="1"/>
  <c r="D131" i="1" s="1"/>
  <c r="J88" i="5"/>
  <c r="E88" i="1" s="1"/>
  <c r="D88" i="1" s="1"/>
  <c r="J66" i="5"/>
  <c r="E66" i="1" s="1"/>
  <c r="D66" i="1" s="1"/>
  <c r="J45" i="5"/>
  <c r="E45" i="1" s="1"/>
  <c r="J130" i="5"/>
  <c r="E130" i="1" s="1"/>
  <c r="D130" i="1" s="1"/>
  <c r="J65" i="5"/>
  <c r="E65" i="1" s="1"/>
  <c r="D65" i="1" s="1"/>
  <c r="J23" i="5"/>
  <c r="E23" i="1" s="1"/>
  <c r="J207" i="5"/>
  <c r="E207" i="1" s="1"/>
  <c r="D207" i="1" s="1"/>
  <c r="J146" i="5"/>
  <c r="E146" i="1" s="1"/>
  <c r="D146" i="1" s="1"/>
  <c r="J159" i="5"/>
  <c r="E159" i="1" s="1"/>
  <c r="D159" i="1" s="1"/>
  <c r="J22" i="5"/>
  <c r="E22" i="1" s="1"/>
  <c r="D22" i="1" s="1"/>
  <c r="J121" i="5"/>
  <c r="E121" i="1" s="1"/>
  <c r="D121" i="1" s="1"/>
  <c r="J62" i="5"/>
  <c r="E62" i="1" s="1"/>
  <c r="D62" i="1" s="1"/>
  <c r="J55" i="5"/>
  <c r="E55" i="1" s="1"/>
  <c r="D55" i="1" s="1"/>
  <c r="J214" i="5"/>
  <c r="E214" i="1" s="1"/>
  <c r="D214" i="1" s="1"/>
  <c r="J149" i="5"/>
  <c r="E149" i="1" s="1"/>
  <c r="D149" i="1" s="1"/>
  <c r="J126" i="5"/>
  <c r="E126" i="1" s="1"/>
  <c r="D126" i="1" s="1"/>
  <c r="J145" i="5"/>
  <c r="E145" i="1" s="1"/>
  <c r="D145" i="1" s="1"/>
  <c r="J54" i="5"/>
  <c r="E54" i="1" s="1"/>
  <c r="D54" i="1" s="1"/>
  <c r="D18" i="1"/>
  <c r="D9" i="1"/>
  <c r="D83" i="1"/>
  <c r="D21" i="1"/>
  <c r="D41" i="1"/>
  <c r="D99" i="1"/>
  <c r="D61" i="1"/>
  <c r="D33" i="1"/>
  <c r="D42" i="1"/>
  <c r="D34" i="1"/>
  <c r="D97" i="1"/>
  <c r="D94" i="1"/>
  <c r="D67" i="1"/>
  <c r="D96" i="1"/>
  <c r="D32" i="1"/>
  <c r="D93" i="1"/>
  <c r="D59" i="1"/>
  <c r="D87" i="1"/>
  <c r="D27" i="1"/>
  <c r="D60" i="1"/>
  <c r="D57" i="1"/>
  <c r="D28" i="1"/>
  <c r="D85" i="1"/>
  <c r="D25" i="1"/>
  <c r="D84" i="1"/>
  <c r="D24" i="1"/>
  <c r="D95" i="1"/>
  <c r="D23" i="1"/>
  <c r="D4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Acrescentar1" description="Conexão com a consulta 'Acrescentar1' na pasta de trabalho." type="5" refreshedVersion="8" background="1" saveData="1">
    <dbPr connection="Provider=Microsoft.Mashup.OleDb.1;Data Source=$Workbook$;Location=Acrescentar1;Extended Properties=&quot;&quot;" command="SELECT * FROM [Acrescentar1]"/>
  </connection>
  <connection id="2" xr16:uid="{00000000-0015-0000-FFFF-FFFF01000000}" name="Consulta - Dezembro2024" description="Conexão com a consulta 'Dezembro2024' na pasta de trabalho." type="100" refreshedVersion="8" minRefreshableVersion="5">
    <extLst>
      <ext xmlns:x15="http://schemas.microsoft.com/office/spreadsheetml/2010/11/main" uri="{DE250136-89BD-433C-8126-D09CA5730AF9}">
        <x15:connection id="dfbfc85e-dd41-4bae-8616-a7b23d28d47d"/>
      </ext>
    </extLst>
  </connection>
  <connection id="3" xr16:uid="{00000000-0015-0000-FFFF-FFFF02000000}" keepAlive="1" name="Consulta - novembro2024" description="Conexão com a consulta 'novembro2024' na pasta de trabalho." type="5" refreshedVersion="0" background="1" saveData="1">
    <dbPr connection="Provider=Microsoft.Mashup.OleDb.1;Data Source=$Workbook$;Location=novembro2024;Extended Properties=&quot;&quot;" command="SELECT * FROM [novembro2024]"/>
  </connection>
  <connection id="4" xr16:uid="{8BD2BE36-79E9-4A0E-84E2-B0BC8513853F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<sst xmlns="http://schemas.openxmlformats.org/spreadsheetml/2006/main" count="836" uniqueCount="195">
  <si>
    <t>Data</t>
  </si>
  <si>
    <t>Tipo</t>
  </si>
  <si>
    <t>Descrição</t>
  </si>
  <si>
    <t>Valor</t>
  </si>
  <si>
    <t>Operação Bancária</t>
  </si>
  <si>
    <t>Status</t>
  </si>
  <si>
    <t>Categoria</t>
  </si>
  <si>
    <t>Conta</t>
  </si>
  <si>
    <t>Data_Mov</t>
  </si>
  <si>
    <t>Nr_Doc</t>
  </si>
  <si>
    <t>Historico</t>
  </si>
  <si>
    <t>Deb_Cred</t>
  </si>
  <si>
    <t>DB AP POUP</t>
  </si>
  <si>
    <t>D</t>
  </si>
  <si>
    <t>DEB WHATS</t>
  </si>
  <si>
    <t>COMPRA</t>
  </si>
  <si>
    <t>DEB IOF</t>
  </si>
  <si>
    <t>DEB JUROS</t>
  </si>
  <si>
    <t>SALDO DIA</t>
  </si>
  <si>
    <t>ENVIO PIX</t>
  </si>
  <si>
    <t>CRED PIX</t>
  </si>
  <si>
    <t>C</t>
  </si>
  <si>
    <t>DEVREC PIX</t>
  </si>
  <si>
    <t>DEB FUNCEF</t>
  </si>
  <si>
    <t>SAQUE LOT</t>
  </si>
  <si>
    <t>CR RG POUP</t>
  </si>
  <si>
    <t>PAG BOLETO</t>
  </si>
  <si>
    <t>PREST CDC</t>
  </si>
  <si>
    <t>SEGURADORA</t>
  </si>
  <si>
    <t>SAQUE BIOM</t>
  </si>
  <si>
    <t>DEB IRPF</t>
  </si>
  <si>
    <t>SEG RESID</t>
  </si>
  <si>
    <t>DEP DIN AG</t>
  </si>
  <si>
    <t>Data da Compra</t>
  </si>
  <si>
    <t>Hora da Compra</t>
  </si>
  <si>
    <t>Nome do Estabelecimento</t>
  </si>
  <si>
    <t>Valor da Compra</t>
  </si>
  <si>
    <t>AutoPostoVitrine</t>
  </si>
  <si>
    <t>100,00 D</t>
  </si>
  <si>
    <t>AUTOPISTA FERNAO</t>
  </si>
  <si>
    <t>2,90 D</t>
  </si>
  <si>
    <t>CRB FPAY</t>
  </si>
  <si>
    <t>10,10 D</t>
  </si>
  <si>
    <t>SUPERMERCADO CATR</t>
  </si>
  <si>
    <t>49,16 D</t>
  </si>
  <si>
    <t>PParada</t>
  </si>
  <si>
    <t>FBPAY *WA TRXIDXX2334</t>
  </si>
  <si>
    <t>50,00 D</t>
  </si>
  <si>
    <t>FBPAY *WA TRXIDXX0052</t>
  </si>
  <si>
    <t>10,00 D</t>
  </si>
  <si>
    <t>POSTO 72</t>
  </si>
  <si>
    <t>30,00 D</t>
  </si>
  <si>
    <t>FBPAY *WA TRXIDXX3160</t>
  </si>
  <si>
    <t>40,00 D</t>
  </si>
  <si>
    <t>GISELDA APARECIDA</t>
  </si>
  <si>
    <t>135,00 D</t>
  </si>
  <si>
    <t>DIA FRANQUIA LJ 9</t>
  </si>
  <si>
    <t>32,66 D</t>
  </si>
  <si>
    <t>PG *TON FAST DOG</t>
  </si>
  <si>
    <t>129,00 D</t>
  </si>
  <si>
    <t>FabioDaSilva</t>
  </si>
  <si>
    <t>14,00 D</t>
  </si>
  <si>
    <t>FARMAVIDA JARINU</t>
  </si>
  <si>
    <t>9,99 D</t>
  </si>
  <si>
    <t>GOOD MILK SHAKE</t>
  </si>
  <si>
    <t>36,00 D</t>
  </si>
  <si>
    <t>MARAVILHAS DO LAR MAXIS</t>
  </si>
  <si>
    <t>39,98 D</t>
  </si>
  <si>
    <t>GEMAXI ADMINISTRA</t>
  </si>
  <si>
    <t>GALPAO GAUCHO</t>
  </si>
  <si>
    <t>64,00 D</t>
  </si>
  <si>
    <t>FBPAY *WA TRXIDXX1328</t>
  </si>
  <si>
    <t>MOVIECOM MAXI JUNDIAI</t>
  </si>
  <si>
    <t>105,00 D</t>
  </si>
  <si>
    <t>15,50 D</t>
  </si>
  <si>
    <t>BURGER KING</t>
  </si>
  <si>
    <t>87,70 D</t>
  </si>
  <si>
    <t>DROGASIL2881</t>
  </si>
  <si>
    <t>195,55 D</t>
  </si>
  <si>
    <t>SAO JOAO CONVENIENCIA</t>
  </si>
  <si>
    <t>Comercialagro</t>
  </si>
  <si>
    <t>FACIGAS</t>
  </si>
  <si>
    <t>110,00 D</t>
  </si>
  <si>
    <t>NETFLIX.COM</t>
  </si>
  <si>
    <t>44,90 D</t>
  </si>
  <si>
    <t>MP*PADARIACRISTA</t>
  </si>
  <si>
    <t>10,40 D</t>
  </si>
  <si>
    <t>AutoPostoSygnus</t>
  </si>
  <si>
    <t>PigBom</t>
  </si>
  <si>
    <t>66,51 D</t>
  </si>
  <si>
    <t>Rótulos de Linha</t>
  </si>
  <si>
    <t>(vazio)</t>
  </si>
  <si>
    <t>Total Geral</t>
  </si>
  <si>
    <t>Soma de Valor</t>
  </si>
  <si>
    <t>SALARIO</t>
  </si>
  <si>
    <t>INVESTIMENTO</t>
  </si>
  <si>
    <t>Coluna1</t>
  </si>
  <si>
    <t>Coluna2</t>
  </si>
  <si>
    <t>COMBUSTIVEL</t>
  </si>
  <si>
    <t>RESTAURANTE</t>
  </si>
  <si>
    <t>PET</t>
  </si>
  <si>
    <t>RESGATE INVEST</t>
  </si>
  <si>
    <t>PART JLF</t>
  </si>
  <si>
    <t>PREVIDENCIA PRIV</t>
  </si>
  <si>
    <t>TX_JUROS-IOF</t>
  </si>
  <si>
    <t>IRPF</t>
  </si>
  <si>
    <t>PAI-DIRCE</t>
  </si>
  <si>
    <t>DEPOSITO</t>
  </si>
  <si>
    <t>DEV</t>
  </si>
  <si>
    <t>SUPERMERCADO</t>
  </si>
  <si>
    <t>FARMACIA</t>
  </si>
  <si>
    <t>UTENSÍLIOS DOMESTICO</t>
  </si>
  <si>
    <t>ENTRETENIMENTO</t>
  </si>
  <si>
    <t>EMPRESTIMO</t>
  </si>
  <si>
    <t>SALDO</t>
  </si>
  <si>
    <t>SAQUE</t>
  </si>
  <si>
    <t>SEGURO</t>
  </si>
  <si>
    <t>DEBITO</t>
  </si>
  <si>
    <t>PEDAGIO/ESTAC</t>
  </si>
  <si>
    <t>PAG AGUA</t>
  </si>
  <si>
    <t>PG LUZ/GAS</t>
  </si>
  <si>
    <t>SAQ RECIBO</t>
  </si>
  <si>
    <t>CR CONSIG</t>
  </si>
  <si>
    <t>70,00 D</t>
  </si>
  <si>
    <t>26,00 D</t>
  </si>
  <si>
    <t>AutoPostoRecanto</t>
  </si>
  <si>
    <t>20,00 D</t>
  </si>
  <si>
    <t>44,31 D</t>
  </si>
  <si>
    <t>SANAGRO AGROPECUA</t>
  </si>
  <si>
    <t>12,00 D</t>
  </si>
  <si>
    <t>11,00 D</t>
  </si>
  <si>
    <t>FBPAY *WA TRXIDXX4594</t>
  </si>
  <si>
    <t>65,00 D</t>
  </si>
  <si>
    <t>19,87 D</t>
  </si>
  <si>
    <t>ATIBAIA POINT COM</t>
  </si>
  <si>
    <t>23,05 D</t>
  </si>
  <si>
    <t>43,29 D</t>
  </si>
  <si>
    <t>COMERCIAL MOURA</t>
  </si>
  <si>
    <t>186,69 D</t>
  </si>
  <si>
    <t>7,76 D</t>
  </si>
  <si>
    <t>22,66 D</t>
  </si>
  <si>
    <t>FBPAY *WA TRXIDXX1639</t>
  </si>
  <si>
    <t>4,00 D</t>
  </si>
  <si>
    <t>9,98 D</t>
  </si>
  <si>
    <t>ATACADAO 633 AS</t>
  </si>
  <si>
    <t>658,99 D</t>
  </si>
  <si>
    <t>38,94 D</t>
  </si>
  <si>
    <t>FBPAY *WA TRXIDXX4172</t>
  </si>
  <si>
    <t>28,00 D</t>
  </si>
  <si>
    <t>PIZZARIA CHOPERIA AVE</t>
  </si>
  <si>
    <t>48,91 D</t>
  </si>
  <si>
    <t>22,02 D</t>
  </si>
  <si>
    <t>FBPAY *WA TRXIDXX7035</t>
  </si>
  <si>
    <t>34,72 D</t>
  </si>
  <si>
    <t>22,46 D</t>
  </si>
  <si>
    <t>DROGARIA ALIANCA</t>
  </si>
  <si>
    <t>23,99 D</t>
  </si>
  <si>
    <t>FBPAY *WA TRXIDXX2597</t>
  </si>
  <si>
    <t>AGUA</t>
  </si>
  <si>
    <t>LUZ</t>
  </si>
  <si>
    <t>ENTRADA</t>
  </si>
  <si>
    <t>SAIDA</t>
  </si>
  <si>
    <t>2024</t>
  </si>
  <si>
    <t>nov</t>
  </si>
  <si>
    <t>Anos (Data)</t>
  </si>
  <si>
    <t>Meses (Data)</t>
  </si>
  <si>
    <t>2024 Total</t>
  </si>
  <si>
    <t>GAS</t>
  </si>
  <si>
    <t>app</t>
  </si>
  <si>
    <t>APP</t>
  </si>
  <si>
    <t>Mês</t>
  </si>
  <si>
    <t>Ano</t>
  </si>
  <si>
    <t>Nome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</si>
  <si>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</si>
  <si>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</si>
  <si>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</si>
  <si>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</si>
  <si>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</si>
  <si>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</si>
  <si>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</si>
  <si>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</si>
  <si>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</si>
  <si>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</si>
  <si>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</si>
  <si>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</si>
  <si>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Economia</t>
  </si>
  <si>
    <t>NP</t>
  </si>
  <si>
    <t>GRAT NAT</t>
  </si>
  <si>
    <t>FUNCEF PREV</t>
  </si>
  <si>
    <t>P</t>
  </si>
  <si>
    <t>POUPANÇA</t>
  </si>
  <si>
    <t>ECONOMIA</t>
  </si>
  <si>
    <t>META:</t>
  </si>
  <si>
    <t>TOTAL RESERVADO:</t>
  </si>
  <si>
    <t>META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</si>
</sst>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[$-F400]h:mm:ss\ AM/PM"/>
    <numFmt numFmtId="166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/>
        <bgColor indexed="64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9">
    <xf numFmtId="0" fontId="0" fillId="0" borderId="0" xfId="0"/>
    <xf numFmtId="14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4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65" fontId="0" fillId="0" borderId="0" xfId="0" applyNumberFormat="1"/>
    <xf numFmtId="0" fontId="0" fillId="0" borderId="1" xfId="0" pivotButton="1" applyBorder="1"/>
    <xf numFmtId="0" fontId="0" fillId="0" borderId="2" xfId="0" applyBorder="1"/>
    <xf numFmtId="0" fontId="0" fillId="0" borderId="1" xfId="0" applyBorder="1"/>
    <xf numFmtId="164" fontId="0" fillId="0" borderId="2" xfId="0" applyNumberFormat="1" applyBorder="1"/>
    <xf numFmtId="0" fontId="0" fillId="0" borderId="3" xfId="0" applyBorder="1"/>
    <xf numFmtId="164" fontId="0" fillId="0" borderId="4" xfId="0" applyNumberFormat="1" applyBorder="1"/>
    <xf numFmtId="0" fontId="0" fillId="0" borderId="5" xfId="0" applyBorder="1"/>
    <xf numFmtId="164" fontId="0" fillId="0" borderId="6" xfId="0" applyNumberFormat="1" applyBorder="1"/>
    <xf numFmtId="0" fontId="0" fillId="0" borderId="6" xfId="0" applyBorder="1"/>
    <xf numFmtId="0" fontId="0" fillId="2" borderId="0" xfId="0" applyFill="1"/>
    <xf numFmtId="0" fontId="0" fillId="3" borderId="0" xfId="0" applyFill="1"/>
    <xf numFmtId="0" fontId="0" fillId="0" borderId="8" xfId="0" applyBorder="1"/>
    <xf numFmtId="0" fontId="0" fillId="0" borderId="7" xfId="0" applyBorder="1"/>
    <xf numFmtId="0" fontId="0" fillId="0" borderId="1" xfId="0" pivotButton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4" borderId="0" xfId="0" applyFill="1"/>
    <xf numFmtId="0" fontId="0" fillId="5" borderId="0" xfId="0" applyFill="1"/>
    <xf numFmtId="166" fontId="0" fillId="0" borderId="0" xfId="2" applyNumberFormat="1" applyFont="1"/>
    <xf numFmtId="0" fontId="0" fillId="0" borderId="6" xfId="0" pivotButton="1" applyBorder="1"/>
    <xf numFmtId="166" fontId="0" fillId="0" borderId="0" xfId="0" applyNumberFormat="1"/>
    <xf numFmtId="0" fontId="0" fillId="0" borderId="9" xfId="0" applyBorder="1"/>
    <xf numFmtId="164" fontId="0" fillId="0" borderId="1" xfId="0" applyNumberFormat="1" applyBorder="1"/>
    <xf numFmtId="164" fontId="0" fillId="0" borderId="5" xfId="0" applyNumberFormat="1" applyBorder="1"/>
    <xf numFmtId="164" fontId="0" fillId="0" borderId="9" xfId="0" applyNumberFormat="1" applyBorder="1"/>
    <xf numFmtId="164" fontId="0" fillId="0" borderId="10" xfId="0" applyNumberFormat="1" applyBorder="1"/>
  </cellXfs>
  <cellStyles count="3">
    <cellStyle name="Moeda" xfId="1" builtinId="4"/>
    <cellStyle name="Normal" xfId="0" builtinId="0"/>
    <cellStyle name="Vírgula" xfId="2" builtinId="3"/>
  </cellStyles>
  <dxfs count="20">
    <dxf>
      <numFmt numFmtId="164" formatCode="&quot;R$&quot;\ #,##0.00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166" formatCode="_-* #,##0_-;\-* #,##0_-;_-* &quot;-&quot;??_-;_-@_-"/>
    </dxf>
    <dxf>
      <numFmt numFmtId="19" formatCode="dd/mm/yyyy"/>
    </dxf>
    <dxf>
      <numFmt numFmtId="19" formatCode="dd/mm/yyyy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66" formatCode="_-* #,##0_-;\-* #,##0_-;_-* &quot;-&quot;??_-;_-@_-"/>
    </dxf>
    <dxf>
      <numFmt numFmtId="19" formatCode="dd/mm/yyyy"/>
    </dxf>
    <dxf>
      <numFmt numFmtId="19" formatCode="dd/mm/yyyy"/>
    </dxf>
    <dxf>
      <numFmt numFmtId="0" formatCode="General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tyle_segment_HSF" pivot="0" table="0" count="10" xr9:uid="{D35A6384-A21C-43DD-AFC8-C5414796A21D}">
      <tableStyleElement type="wholeTable" dxfId="19"/>
      <tableStyleElement type="headerRow" dxfId="18"/>
    </tableStyle>
  </tableStyles>
  <colors>
    <mruColors>
      <color rgb="FFFFABAB"/>
      <color rgb="FFFF3737"/>
      <color rgb="FFE3292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_segment_HSF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[Dashboard_Orçamento.xlsm]Controller!tbl_saida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FFABAB"/>
              </a:gs>
              <a:gs pos="64999">
                <a:srgbClr val="FF3737"/>
              </a:gs>
              <a:gs pos="100000">
                <a:srgbClr val="C00000"/>
              </a:gs>
            </a:gsLst>
            <a:lin ang="16200000" scaled="0"/>
          </a:gra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5400000" spcFirstLastPara="1" vertOverflow="ellipsis" vert="horz" wrap="square" lIns="38100" tIns="19050" rIns="38100" bIns="19050" anchor="ctr" anchorCtr="0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pPr>
            <a:noFill/>
            <a:ln>
              <a:noFill/>
            </a:ln>
            <a:effectLst>
              <a:outerShdw blurRad="50800" dist="25400" dir="5400000" algn="ctr" rotWithShape="0">
                <a:sysClr val="window" lastClr="FFFFFF"/>
              </a:outerShdw>
            </a:effectLst>
          </c:spPr>
          <c:txPr>
            <a:bodyPr rot="5400000" spcFirstLastPara="1" vertOverflow="ellipsis" vert="horz" wrap="square" lIns="38100" tIns="19050" rIns="38100" bIns="19050" anchor="ctr" anchorCtr="0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accent2">
                  <a:lumMod val="50000"/>
                </a:schemeClr>
              </a:gs>
              <a:gs pos="74000">
                <a:schemeClr val="accent2">
                  <a:lumMod val="75000"/>
                </a:schemeClr>
              </a:gs>
              <a:gs pos="83000">
                <a:schemeClr val="accent2">
                  <a:lumMod val="60000"/>
                  <a:lumOff val="40000"/>
                </a:schemeClr>
              </a:gs>
              <a:gs pos="100000">
                <a:schemeClr val="accent2">
                  <a:lumMod val="40000"/>
                  <a:lumOff val="60000"/>
                </a:schemeClr>
              </a:gs>
            </a:gsLst>
            <a:lin ang="5400000" scaled="1"/>
          </a:gra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5400000" vert="horz" wrap="square" lIns="38100" tIns="19050" rIns="38100" bIns="19050" anchor="ctr">
              <a:spAutoFit/>
            </a:bodyPr>
            <a:lstStyle/>
            <a:p>
              <a:pPr>
                <a:defRPr sz="1600" b="1">
                  <a:solidFill>
                    <a:schemeClr val="tx2">
                      <a:lumMod val="50000"/>
                    </a:schemeClr>
                  </a:solidFill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3213034449873359E-3"/>
          <c:y val="1.7879422591373483E-3"/>
          <c:w val="0.99226107053484591"/>
          <c:h val="0.62846550954618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Controller!$D$4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50000"/>
                  </a:schemeClr>
                </a:gs>
                <a:gs pos="74000">
                  <a:schemeClr val="accent2">
                    <a:lumMod val="75000"/>
                  </a:schemeClr>
                </a:gs>
                <a:gs pos="83000">
                  <a:schemeClr val="accent2">
                    <a:lumMod val="60000"/>
                    <a:lumOff val="40000"/>
                  </a:schemeClr>
                </a:gs>
                <a:gs pos="100000">
                  <a:schemeClr val="accent2">
                    <a:lumMod val="40000"/>
                    <a:lumOff val="60000"/>
                  </a:schemeClr>
                </a:gs>
              </a:gsLst>
              <a:lin ang="5400000" scaled="1"/>
            </a:gra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vert="horz" wrap="square" lIns="38100" tIns="19050" rIns="38100" bIns="19050" anchor="ctr">
                <a:spAutoFit/>
              </a:bodyPr>
              <a:lstStyle/>
              <a:p>
                <a:pPr>
                  <a:defRPr sz="1600" b="1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Controller!$C$5:$C$28</c:f>
              <c:strCache>
                <c:ptCount val="23"/>
                <c:pt idx="0">
                  <c:v>DEBITO</c:v>
                </c:pt>
                <c:pt idx="1">
                  <c:v>PAI-DIRCE</c:v>
                </c:pt>
                <c:pt idx="2">
                  <c:v>INVESTIMENTO</c:v>
                </c:pt>
                <c:pt idx="3">
                  <c:v>COMBUSTIVEL</c:v>
                </c:pt>
                <c:pt idx="4">
                  <c:v>PEDAGIO/ESTAC</c:v>
                </c:pt>
                <c:pt idx="5">
                  <c:v>SUPERMERCADO</c:v>
                </c:pt>
                <c:pt idx="6">
                  <c:v>TX_JUROS-IOF</c:v>
                </c:pt>
                <c:pt idx="7">
                  <c:v>SALDO</c:v>
                </c:pt>
                <c:pt idx="8">
                  <c:v>RESTAURANTE</c:v>
                </c:pt>
                <c:pt idx="9">
                  <c:v>PREVIDENCIA PRIV</c:v>
                </c:pt>
                <c:pt idx="10">
                  <c:v>FARMACIA</c:v>
                </c:pt>
                <c:pt idx="11">
                  <c:v>UTENSÍLIOS DOMESTICO</c:v>
                </c:pt>
                <c:pt idx="12">
                  <c:v>ENTRETENIMENTO</c:v>
                </c:pt>
                <c:pt idx="13">
                  <c:v>SAQUE</c:v>
                </c:pt>
                <c:pt idx="14">
                  <c:v>RESGATE INVEST</c:v>
                </c:pt>
                <c:pt idx="15">
                  <c:v>PAG BOLETO</c:v>
                </c:pt>
                <c:pt idx="16">
                  <c:v>EMPRESTIMO</c:v>
                </c:pt>
                <c:pt idx="17">
                  <c:v>PET</c:v>
                </c:pt>
                <c:pt idx="18">
                  <c:v>SEGURO</c:v>
                </c:pt>
                <c:pt idx="19">
                  <c:v>IRPF</c:v>
                </c:pt>
                <c:pt idx="20">
                  <c:v>AGUA</c:v>
                </c:pt>
                <c:pt idx="21">
                  <c:v>LUZ</c:v>
                </c:pt>
                <c:pt idx="22">
                  <c:v>GAS</c:v>
                </c:pt>
              </c:strCache>
            </c:strRef>
          </c:cat>
          <c:val>
            <c:numRef>
              <c:f>Controller!$D$5:$D$28</c:f>
              <c:numCache>
                <c:formatCode>"R$"\ #,##0.00</c:formatCode>
                <c:ptCount val="23"/>
                <c:pt idx="0">
                  <c:v>11850</c:v>
                </c:pt>
                <c:pt idx="1">
                  <c:v>2716.41</c:v>
                </c:pt>
                <c:pt idx="2">
                  <c:v>50</c:v>
                </c:pt>
                <c:pt idx="3">
                  <c:v>1543</c:v>
                </c:pt>
                <c:pt idx="4">
                  <c:v>46.8</c:v>
                </c:pt>
                <c:pt idx="5">
                  <c:v>1328.5800000000002</c:v>
                </c:pt>
                <c:pt idx="6">
                  <c:v>227.60000000000002</c:v>
                </c:pt>
                <c:pt idx="7">
                  <c:v>0</c:v>
                </c:pt>
                <c:pt idx="8">
                  <c:v>1075.6599999999999</c:v>
                </c:pt>
                <c:pt idx="9">
                  <c:v>1434.93</c:v>
                </c:pt>
                <c:pt idx="10">
                  <c:v>229.53000000000003</c:v>
                </c:pt>
                <c:pt idx="11">
                  <c:v>39.979999999999997</c:v>
                </c:pt>
                <c:pt idx="12">
                  <c:v>210.3</c:v>
                </c:pt>
                <c:pt idx="13">
                  <c:v>536</c:v>
                </c:pt>
                <c:pt idx="14">
                  <c:v>30.299999999999997</c:v>
                </c:pt>
                <c:pt idx="15">
                  <c:v>6580.6</c:v>
                </c:pt>
                <c:pt idx="16">
                  <c:v>1123.5</c:v>
                </c:pt>
                <c:pt idx="17">
                  <c:v>20</c:v>
                </c:pt>
                <c:pt idx="18">
                  <c:v>301.40999999999997</c:v>
                </c:pt>
                <c:pt idx="19">
                  <c:v>112.09</c:v>
                </c:pt>
                <c:pt idx="20">
                  <c:v>116.78</c:v>
                </c:pt>
                <c:pt idx="21">
                  <c:v>285.7</c:v>
                </c:pt>
                <c:pt idx="22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F-4B61-8748-25546575A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66"/>
        <c:axId val="90702592"/>
        <c:axId val="90704128"/>
      </c:barChart>
      <c:catAx>
        <c:axId val="9070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04128"/>
        <c:crosses val="autoZero"/>
        <c:auto val="1"/>
        <c:lblAlgn val="ctr"/>
        <c:lblOffset val="100"/>
        <c:noMultiLvlLbl val="0"/>
      </c:catAx>
      <c:valAx>
        <c:axId val="90704128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9070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[Dashboard_Orçamento.xlsm]Controller!Tbl_entrada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6">
                  <a:lumMod val="40000"/>
                  <a:lumOff val="60000"/>
                </a:schemeClr>
              </a:gs>
              <a:gs pos="64999">
                <a:srgbClr val="70AD47">
                  <a:lumMod val="60000"/>
                  <a:lumOff val="40000"/>
                </a:srgbClr>
              </a:gs>
              <a:gs pos="100000">
                <a:srgbClr val="70AD47">
                  <a:lumMod val="50000"/>
                </a:srgbClr>
              </a:gs>
            </a:gsLst>
            <a:lin ang="162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lIns="38100" tIns="19050" rIns="38100" bIns="19050" anchor="t" anchorCtr="0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6">
                  <a:lumMod val="40000"/>
                  <a:lumOff val="60000"/>
                </a:schemeClr>
              </a:gs>
              <a:gs pos="64999">
                <a:srgbClr val="70AD47">
                  <a:lumMod val="60000"/>
                  <a:lumOff val="40000"/>
                </a:srgbClr>
              </a:gs>
              <a:gs pos="100000">
                <a:srgbClr val="70AD47">
                  <a:lumMod val="50000"/>
                </a:srgbClr>
              </a:gs>
            </a:gsLst>
            <a:lin ang="162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lIns="38100" tIns="19050" rIns="38100" bIns="19050" anchor="t" anchorCtr="0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6">
                  <a:lumMod val="40000"/>
                  <a:lumOff val="60000"/>
                </a:schemeClr>
              </a:gs>
              <a:gs pos="64999">
                <a:srgbClr val="70AD47">
                  <a:lumMod val="60000"/>
                  <a:lumOff val="40000"/>
                </a:srgbClr>
              </a:gs>
              <a:gs pos="100000">
                <a:srgbClr val="70AD47">
                  <a:lumMod val="50000"/>
                </a:srgbClr>
              </a:gs>
            </a:gsLst>
            <a:lin ang="162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lIns="38100" tIns="19050" rIns="38100" bIns="19050" anchor="t" anchorCtr="0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2268753320774766E-2"/>
          <c:y val="4.1394683024085312E-2"/>
          <c:w val="0.97546249335845048"/>
          <c:h val="0.696339239205653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Controller!$H$4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40000"/>
                    <a:lumOff val="60000"/>
                  </a:schemeClr>
                </a:gs>
                <a:gs pos="64999">
                  <a:srgbClr val="70AD47">
                    <a:lumMod val="60000"/>
                    <a:lumOff val="40000"/>
                  </a:srgbClr>
                </a:gs>
                <a:gs pos="100000">
                  <a:srgbClr val="70AD47">
                    <a:lumMod val="50000"/>
                  </a:srgbClr>
                </a:gs>
              </a:gsLst>
              <a:lin ang="162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Controller!$G$5:$G$11</c:f>
              <c:strCache>
                <c:ptCount val="6"/>
                <c:pt idx="0">
                  <c:v>SALDO</c:v>
                </c:pt>
                <c:pt idx="1">
                  <c:v>PART JLF</c:v>
                </c:pt>
                <c:pt idx="2">
                  <c:v>SALARIO</c:v>
                </c:pt>
                <c:pt idx="3">
                  <c:v>DEV</c:v>
                </c:pt>
                <c:pt idx="4">
                  <c:v>EMPRESTIMO</c:v>
                </c:pt>
                <c:pt idx="5">
                  <c:v>DEPOSITO</c:v>
                </c:pt>
              </c:strCache>
            </c:strRef>
          </c:cat>
          <c:val>
            <c:numRef>
              <c:f>Controller!$H$5:$H$11</c:f>
              <c:numCache>
                <c:formatCode>"R$"\ #,##0.00</c:formatCode>
                <c:ptCount val="6"/>
                <c:pt idx="0">
                  <c:v>0</c:v>
                </c:pt>
                <c:pt idx="1">
                  <c:v>886</c:v>
                </c:pt>
                <c:pt idx="2">
                  <c:v>25785.32</c:v>
                </c:pt>
                <c:pt idx="3">
                  <c:v>30.06</c:v>
                </c:pt>
                <c:pt idx="4">
                  <c:v>1872.12</c:v>
                </c:pt>
                <c:pt idx="5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F3-4D34-B2D0-09DA613BC8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1493504"/>
        <c:axId val="91495040"/>
      </c:barChart>
      <c:catAx>
        <c:axId val="9149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495040"/>
        <c:crosses val="autoZero"/>
        <c:auto val="1"/>
        <c:lblAlgn val="ctr"/>
        <c:lblOffset val="100"/>
        <c:noMultiLvlLbl val="0"/>
      </c:catAx>
      <c:valAx>
        <c:axId val="91495040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9149350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[Dashboard_Orçamento.xlsm]Controller!TBL_ECONOMIA</c:name>
    <c:fmtId val="19"/>
  </c:pivotSource>
  <c:chart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96000">
                <a:schemeClr val="accent1">
                  <a:lumMod val="5000"/>
                  <a:lumOff val="95000"/>
                </a:schemeClr>
              </a:gs>
              <a:gs pos="0">
                <a:schemeClr val="accent6">
                  <a:lumMod val="5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95000"/>
            </a:schemeClr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9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333333333333333E-2"/>
          <c:y val="6.4814814814814811E-2"/>
          <c:w val="0.93795775822632677"/>
          <c:h val="0.84167468649752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Controller!$H$20</c:f>
              <c:strCache>
                <c:ptCount val="1"/>
                <c:pt idx="0">
                  <c:v>TOTAL RESERVADO:</c:v>
                </c:pt>
              </c:strCache>
            </c:strRef>
          </c:tx>
          <c:spPr>
            <a:gradFill>
              <a:gsLst>
                <a:gs pos="96000">
                  <a:schemeClr val="accent1">
                    <a:lumMod val="5000"/>
                    <a:lumOff val="95000"/>
                  </a:schemeClr>
                </a:gs>
                <a:gs pos="0">
                  <a:schemeClr val="accent6">
                    <a:lumMod val="5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Controller!$G$21:$G$22</c:f>
              <c:strCache>
                <c:ptCount val="1"/>
                <c:pt idx="0">
                  <c:v>ECONOMIA</c:v>
                </c:pt>
              </c:strCache>
            </c:strRef>
          </c:cat>
          <c:val>
            <c:numRef>
              <c:f>Controller!$H$21:$H$22</c:f>
              <c:numCache>
                <c:formatCode>"R$"\ #,##0.00</c:formatCode>
                <c:ptCount val="1"/>
                <c:pt idx="0">
                  <c:v>2429.65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C-4985-AF70-E924ABC6DBD1}"/>
            </c:ext>
          </c:extLst>
        </c:ser>
        <c:ser>
          <c:idx val="1"/>
          <c:order val="1"/>
          <c:tx>
            <c:strRef>
              <c:f>Controller!$I$20</c:f>
              <c:strCache>
                <c:ptCount val="1"/>
                <c:pt idx="0">
                  <c:v>META: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Controller!$G$21:$G$22</c:f>
              <c:strCache>
                <c:ptCount val="1"/>
                <c:pt idx="0">
                  <c:v>ECONOMIA</c:v>
                </c:pt>
              </c:strCache>
            </c:strRef>
          </c:cat>
          <c:val>
            <c:numRef>
              <c:f>Controller!$I$21:$I$22</c:f>
              <c:numCache>
                <c:formatCode>"R$"\ #,##0.00</c:formatCode>
                <c:ptCount val="1"/>
                <c:pt idx="0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CC-4985-AF70-E924ABC6DBD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74316576"/>
        <c:axId val="1374311176"/>
      </c:barChart>
      <c:catAx>
        <c:axId val="137431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4311176"/>
        <c:crosses val="autoZero"/>
        <c:auto val="1"/>
        <c:lblAlgn val="ctr"/>
        <c:lblOffset val="100"/>
        <c:noMultiLvlLbl val="0"/>
      </c:catAx>
      <c:valAx>
        <c:axId val="1374311176"/>
        <c:scaling>
          <c:orientation val="minMax"/>
        </c:scaling>
        <c:delete val="0"/>
        <c:axPos val="l"/>
        <c:numFmt formatCode="&quot;R$&quot;\ #,##0.0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7431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microsoft.com/office/2007/relationships/hdphoto" Target="../media/hdphoto1.wdp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12" Type="http://schemas.openxmlformats.org/officeDocument/2006/relationships/image" Target="../media/image10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9.svg"/><Relationship Id="rId5" Type="http://schemas.openxmlformats.org/officeDocument/2006/relationships/image" Target="../media/image4.svg"/><Relationship Id="rId10" Type="http://schemas.openxmlformats.org/officeDocument/2006/relationships/image" Target="../media/image8.png"/><Relationship Id="rId4" Type="http://schemas.openxmlformats.org/officeDocument/2006/relationships/image" Target="../media/image3.png"/><Relationship Id="rId9" Type="http://schemas.openxmlformats.org/officeDocument/2006/relationships/chart" Target="../charts/chart2.xml"/><Relationship Id="rId1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403860</xdr:colOff>
      <xdr:row>2</xdr:row>
      <xdr:rowOff>137160</xdr:rowOff>
    </xdr:from>
    <xdr:to>
      <xdr:col>12</xdr:col>
      <xdr:colOff>144780</xdr:colOff>
      <xdr:row>5</xdr:row>
      <xdr:rowOff>91440</xdr:rowOff>
    </xdr:to>
    <xdr:sp macro="[0]!Voltar_dashboard" textlink="">
      <xdr:nvSpPr>
        <xdr:cNvPr id="2" name="Seta: para a Direita 1">
          <a:extLst>
            <a:ext uri="{FF2B5EF4-FFF2-40B4-BE49-F238E27FC236}">
              <a16:creationId xmlns:a16="http://schemas.microsoft.com/office/drawing/2014/main" id="{397FBF9F-6E22-CA87-27F6-8A3EA3965B51}"/>
            </a:ext>
          </a:extLst>
        </xdr:cNvPr>
        <xdr:cNvSpPr/>
      </xdr:nvSpPr>
      <xdr:spPr>
        <a:xfrm>
          <a:off x="10820400" y="502920"/>
          <a:ext cx="1584960" cy="50292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kern="1200"/>
            <a:t>Voltar Dasboard</a:t>
          </a:r>
        </a:p>
      </xdr:txBody>
    </xdr:sp>
    <xdr:clientData fLocksWithSheet="0"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39</xdr:row>
      <xdr:rowOff>48983</xdr:rowOff>
    </xdr:from>
    <xdr:to>
      <xdr:col>19</xdr:col>
      <xdr:colOff>394799</xdr:colOff>
      <xdr:row>81</xdr:row>
      <xdr:rowOff>94475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63E7665-98D7-CFAC-D3E1-89620B0C5698}"/>
            </a:ext>
          </a:extLst>
        </xdr:cNvPr>
        <xdr:cNvGrpSpPr/>
      </xdr:nvGrpSpPr>
      <xdr:grpSpPr>
        <a:xfrm>
          <a:off x="2277835" y="7418612"/>
          <a:ext cx="11386650" cy="7817892"/>
          <a:chOff x="2521744" y="8458199"/>
          <a:chExt cx="12030075" cy="7056855"/>
        </a:xfrm>
      </xdr:grpSpPr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9286BE3B-4DFE-9ACA-F837-06BD18A45FC8}"/>
              </a:ext>
            </a:extLst>
          </xdr:cNvPr>
          <xdr:cNvGrpSpPr/>
        </xdr:nvGrpSpPr>
        <xdr:grpSpPr>
          <a:xfrm>
            <a:off x="2521744" y="8458200"/>
            <a:ext cx="12030075" cy="7056854"/>
            <a:chOff x="1714499" y="23812"/>
            <a:chExt cx="12049126" cy="8491538"/>
          </a:xfrm>
        </xdr:grpSpPr>
        <xdr:sp macro="" textlink="">
          <xdr:nvSpPr>
            <xdr:cNvPr id="5" name="Retângulo: Cantos Arredondados 4">
              <a:extLst>
                <a:ext uri="{FF2B5EF4-FFF2-40B4-BE49-F238E27FC236}">
                  <a16:creationId xmlns:a16="http://schemas.microsoft.com/office/drawing/2014/main" id="{FC619ADB-4A8F-61E2-CB1F-4D82D3F03E26}"/>
                </a:ext>
              </a:extLst>
            </xdr:cNvPr>
            <xdr:cNvSpPr/>
          </xdr:nvSpPr>
          <xdr:spPr>
            <a:xfrm>
              <a:off x="1733550" y="57150"/>
              <a:ext cx="12030075" cy="845820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/>
            </a:p>
          </xdr:txBody>
        </xdr:sp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C94C17F2-8C14-492F-BB2F-AE20D31650C1}"/>
                </a:ext>
              </a:extLst>
            </xdr:cNvPr>
            <xdr:cNvGraphicFramePr>
              <a:graphicFrameLocks/>
            </xdr:cNvGraphicFramePr>
          </xdr:nvGraphicFramePr>
          <xdr:xfrm>
            <a:off x="1809749" y="1760463"/>
            <a:ext cx="11739563" cy="668774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9" name="Retângulo: Cantos Superiores Arredondados 8">
              <a:extLst>
                <a:ext uri="{FF2B5EF4-FFF2-40B4-BE49-F238E27FC236}">
                  <a16:creationId xmlns:a16="http://schemas.microsoft.com/office/drawing/2014/main" id="{AC1174C8-0F40-7510-F208-50DEACC47AC8}"/>
                </a:ext>
              </a:extLst>
            </xdr:cNvPr>
            <xdr:cNvSpPr/>
          </xdr:nvSpPr>
          <xdr:spPr>
            <a:xfrm>
              <a:off x="1714499" y="23812"/>
              <a:ext cx="11977687" cy="1119188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5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4000">
                  <a:latin typeface="Segoe UI Black" panose="020B0A02040204020203" pitchFamily="34" charset="0"/>
                  <a:ea typeface="Segoe UI Black" panose="020B0A02040204020203" pitchFamily="34" charset="0"/>
                </a:rPr>
                <a:t>GASTOS</a:t>
              </a:r>
            </a:p>
          </xdr:txBody>
        </xdr:sp>
      </xdr:grpSp>
      <xdr:pic>
        <xdr:nvPicPr>
          <xdr:cNvPr id="8" name="Gráfico 7" descr="Cartão de crédito com preenchimento sólido">
            <a:extLst>
              <a:ext uri="{FF2B5EF4-FFF2-40B4-BE49-F238E27FC236}">
                <a16:creationId xmlns:a16="http://schemas.microsoft.com/office/drawing/2014/main" id="{16031113-7949-A127-950F-9883A2990B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62275" y="8458199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375470</xdr:colOff>
      <xdr:row>11</xdr:row>
      <xdr:rowOff>133689</xdr:rowOff>
    </xdr:from>
    <xdr:to>
      <xdr:col>20</xdr:col>
      <xdr:colOff>359225</xdr:colOff>
      <xdr:row>37</xdr:row>
      <xdr:rowOff>152400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1195DB2-CFB0-4CFF-91B1-2BAA46325711}"/>
            </a:ext>
          </a:extLst>
        </xdr:cNvPr>
        <xdr:cNvSpPr/>
      </xdr:nvSpPr>
      <xdr:spPr>
        <a:xfrm>
          <a:off x="8060784" y="2321718"/>
          <a:ext cx="6188612" cy="483019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375470</xdr:colOff>
      <xdr:row>11</xdr:row>
      <xdr:rowOff>133689</xdr:rowOff>
    </xdr:from>
    <xdr:to>
      <xdr:col>20</xdr:col>
      <xdr:colOff>334726</xdr:colOff>
      <xdr:row>14</xdr:row>
      <xdr:rowOff>137713</xdr:rowOff>
    </xdr:to>
    <xdr:sp macro="" textlink="">
      <xdr:nvSpPr>
        <xdr:cNvPr id="11" name="Retângulo: Cantos Superiores Arredondados 10">
          <a:extLst>
            <a:ext uri="{FF2B5EF4-FFF2-40B4-BE49-F238E27FC236}">
              <a16:creationId xmlns:a16="http://schemas.microsoft.com/office/drawing/2014/main" id="{CFD1E154-C718-3C9E-BAFC-C1B357D5938A}"/>
            </a:ext>
          </a:extLst>
        </xdr:cNvPr>
        <xdr:cNvSpPr/>
      </xdr:nvSpPr>
      <xdr:spPr>
        <a:xfrm>
          <a:off x="8060784" y="2321718"/>
          <a:ext cx="6164113" cy="559195"/>
        </a:xfrm>
        <a:prstGeom prst="round2SameRect">
          <a:avLst>
            <a:gd name="adj1" fmla="val 50000"/>
            <a:gd name="adj2" fmla="val 0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4000">
              <a:latin typeface="Segoe UI Black" panose="020B0A02040204020203" pitchFamily="34" charset="0"/>
              <a:ea typeface="Segoe UI Black" panose="020B0A02040204020203" pitchFamily="34" charset="0"/>
            </a:rPr>
            <a:t>ECONOMIA</a:t>
          </a:r>
        </a:p>
      </xdr:txBody>
    </xdr:sp>
    <xdr:clientData/>
  </xdr:twoCellAnchor>
  <xdr:twoCellAnchor>
    <xdr:from>
      <xdr:col>10</xdr:col>
      <xdr:colOff>587918</xdr:colOff>
      <xdr:row>11</xdr:row>
      <xdr:rowOff>153412</xdr:rowOff>
    </xdr:from>
    <xdr:to>
      <xdr:col>11</xdr:col>
      <xdr:colOff>494293</xdr:colOff>
      <xdr:row>14</xdr:row>
      <xdr:rowOff>125102</xdr:rowOff>
    </xdr:to>
    <xdr:pic>
      <xdr:nvPicPr>
        <xdr:cNvPr id="14" name="Gráfico 13" descr="Baú de tesouro com preenchimento sólido">
          <a:extLst>
            <a:ext uri="{FF2B5EF4-FFF2-40B4-BE49-F238E27FC236}">
              <a16:creationId xmlns:a16="http://schemas.microsoft.com/office/drawing/2014/main" id="{576CCD43-24AD-F0D6-381B-9F99FBBBE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8273232" y="2341441"/>
          <a:ext cx="526861" cy="526861"/>
        </a:xfrm>
        <a:prstGeom prst="rect">
          <a:avLst/>
        </a:prstGeom>
      </xdr:spPr>
    </xdr:pic>
    <xdr:clientData/>
  </xdr:twoCellAnchor>
  <xdr:twoCellAnchor editAs="absolute">
    <xdr:from>
      <xdr:col>0</xdr:col>
      <xdr:colOff>43543</xdr:colOff>
      <xdr:row>15</xdr:row>
      <xdr:rowOff>29391</xdr:rowOff>
    </xdr:from>
    <xdr:to>
      <xdr:col>0</xdr:col>
      <xdr:colOff>1698172</xdr:colOff>
      <xdr:row>22</xdr:row>
      <xdr:rowOff>130629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0" name="Mês">
              <a:extLst>
                <a:ext uri="{FF2B5EF4-FFF2-40B4-BE49-F238E27FC236}">
                  <a16:creationId xmlns:a16="http://schemas.microsoft.com/office/drawing/2014/main" id="{98D056F3-A273-4290-9CBC-99038BCCC1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543" y="2957648"/>
              <a:ext cx="1654629" cy="13966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0</xdr:col>
      <xdr:colOff>10885</xdr:colOff>
      <xdr:row>9</xdr:row>
      <xdr:rowOff>54429</xdr:rowOff>
    </xdr:from>
    <xdr:to>
      <xdr:col>0</xdr:col>
      <xdr:colOff>1676399</xdr:colOff>
      <xdr:row>14</xdr:row>
      <xdr:rowOff>97969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1" name="Ano">
              <a:extLst>
                <a:ext uri="{FF2B5EF4-FFF2-40B4-BE49-F238E27FC236}">
                  <a16:creationId xmlns:a16="http://schemas.microsoft.com/office/drawing/2014/main" id="{30574198-0CD5-4980-85C1-76FF786E10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85" y="1872343"/>
              <a:ext cx="1665514" cy="9688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 fPrintsWithSheet="0"/>
  </xdr:twoCellAnchor>
  <xdr:twoCellAnchor>
    <xdr:from>
      <xdr:col>1</xdr:col>
      <xdr:colOff>217714</xdr:colOff>
      <xdr:row>0</xdr:row>
      <xdr:rowOff>163286</xdr:rowOff>
    </xdr:from>
    <xdr:to>
      <xdr:col>20</xdr:col>
      <xdr:colOff>337458</xdr:colOff>
      <xdr:row>7</xdr:row>
      <xdr:rowOff>130629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7D00C088-08C8-0687-0FD7-8497F3D60F8E}"/>
            </a:ext>
          </a:extLst>
        </xdr:cNvPr>
        <xdr:cNvGrpSpPr/>
      </xdr:nvGrpSpPr>
      <xdr:grpSpPr>
        <a:xfrm>
          <a:off x="1981200" y="163286"/>
          <a:ext cx="12246429" cy="1262743"/>
          <a:chOff x="1981200" y="163286"/>
          <a:chExt cx="11832771" cy="1262743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B524F35-3F0A-42DC-8A83-A2A5A5AB6DFD}"/>
              </a:ext>
            </a:extLst>
          </xdr:cNvPr>
          <xdr:cNvSpPr/>
        </xdr:nvSpPr>
        <xdr:spPr>
          <a:xfrm>
            <a:off x="1981200" y="163286"/>
            <a:ext cx="11832771" cy="1262743"/>
          </a:xfrm>
          <a:prstGeom prst="round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rgbClr val="FF0000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+mn-cs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14DBBF45-510B-FC85-8191-EA59AFA2829A}"/>
              </a:ext>
            </a:extLst>
          </xdr:cNvPr>
          <xdr:cNvGrpSpPr/>
        </xdr:nvGrpSpPr>
        <xdr:grpSpPr>
          <a:xfrm>
            <a:off x="3309732" y="272142"/>
            <a:ext cx="9502257" cy="957943"/>
            <a:chOff x="2252222" y="141514"/>
            <a:chExt cx="1871134" cy="772886"/>
          </a:xfrm>
        </xdr:grpSpPr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3DC0BA44-7F81-CDE2-7D87-604DD888D1D3}"/>
                </a:ext>
              </a:extLst>
            </xdr:cNvPr>
            <xdr:cNvSpPr/>
          </xdr:nvSpPr>
          <xdr:spPr>
            <a:xfrm>
              <a:off x="2252222" y="141514"/>
              <a:ext cx="1871134" cy="40277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2400" kern="1200">
                  <a:solidFill>
                    <a:schemeClr val="accent1">
                      <a:lumMod val="50000"/>
                    </a:schemeClr>
                  </a:solidFill>
                  <a:latin typeface="Segoe UI Black" panose="020B0A02040204020203" pitchFamily="34" charset="0"/>
                  <a:ea typeface="Segoe UI Black" panose="020B0A02040204020203" pitchFamily="34" charset="0"/>
                </a:rPr>
                <a:t>Olá, Agnaldo</a:t>
              </a:r>
            </a:p>
          </xdr:txBody>
        </xdr:sp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153515A5-B850-4B3F-87E5-53B1EFA71677}"/>
                </a:ext>
              </a:extLst>
            </xdr:cNvPr>
            <xdr:cNvSpPr/>
          </xdr:nvSpPr>
          <xdr:spPr>
            <a:xfrm>
              <a:off x="2252222" y="511629"/>
              <a:ext cx="1847547" cy="40277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2400" kern="1200">
                  <a:solidFill>
                    <a:schemeClr val="bg1">
                      <a:lumMod val="50000"/>
                    </a:schemeClr>
                  </a:solidFill>
                  <a:latin typeface="Segoe UI Black" panose="020B0A02040204020203" pitchFamily="34" charset="0"/>
                  <a:ea typeface="Segoe UI Black" panose="020B0A02040204020203" pitchFamily="34" charset="0"/>
                </a:rPr>
                <a:t>Acompanhamento Financeiro</a:t>
              </a:r>
              <a:r>
                <a:rPr lang="pt-BR" sz="2400" kern="1200" baseline="0">
                  <a:solidFill>
                    <a:schemeClr val="bg1">
                      <a:lumMod val="50000"/>
                    </a:schemeClr>
                  </a:solidFill>
                  <a:latin typeface="Segoe UI Black" panose="020B0A02040204020203" pitchFamily="34" charset="0"/>
                  <a:ea typeface="Segoe UI Black" panose="020B0A02040204020203" pitchFamily="34" charset="0"/>
                </a:rPr>
                <a:t> </a:t>
              </a:r>
              <a:endParaRPr lang="pt-BR" sz="2400" kern="1200">
                <a:solidFill>
                  <a:schemeClr val="bg1">
                    <a:lumMod val="50000"/>
                  </a:schemeClr>
                </a:solidFill>
                <a:latin typeface="Segoe UI Black" panose="020B0A02040204020203" pitchFamily="34" charset="0"/>
                <a:ea typeface="Segoe UI Black" panose="020B0A02040204020203" pitchFamily="34" charset="0"/>
              </a:endParaRPr>
            </a:p>
          </xdr:txBody>
        </xdr:sp>
      </xdr:grpSp>
    </xdr:grpSp>
    <xdr:clientData/>
  </xdr:twoCellAnchor>
  <xdr:twoCellAnchor>
    <xdr:from>
      <xdr:col>12</xdr:col>
      <xdr:colOff>511629</xdr:colOff>
      <xdr:row>7</xdr:row>
      <xdr:rowOff>174173</xdr:rowOff>
    </xdr:from>
    <xdr:to>
      <xdr:col>20</xdr:col>
      <xdr:colOff>130629</xdr:colOff>
      <xdr:row>8</xdr:row>
      <xdr:rowOff>315688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DFC78E29-5505-51D9-314C-71C77D5982B1}"/>
            </a:ext>
          </a:extLst>
        </xdr:cNvPr>
        <xdr:cNvGrpSpPr/>
      </xdr:nvGrpSpPr>
      <xdr:grpSpPr>
        <a:xfrm>
          <a:off x="9437915" y="1469573"/>
          <a:ext cx="4582885" cy="326572"/>
          <a:chOff x="7043057" y="631372"/>
          <a:chExt cx="4833257" cy="283028"/>
        </a:xfrm>
      </xdr:grpSpPr>
      <xdr:sp macro="[0]!EXIBIR_DATA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0E9EF0E6-95B1-D7A1-3162-C43B250A03DD}"/>
              </a:ext>
            </a:extLst>
          </xdr:cNvPr>
          <xdr:cNvSpPr/>
        </xdr:nvSpPr>
        <xdr:spPr>
          <a:xfrm>
            <a:off x="7043057" y="631372"/>
            <a:ext cx="4833257" cy="272142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kern="1200">
                <a:solidFill>
                  <a:schemeClr val="bg1">
                    <a:lumMod val="50000"/>
                  </a:schemeClr>
                </a:solidFill>
              </a:rPr>
              <a:t>Pesquisar dados</a:t>
            </a:r>
          </a:p>
        </xdr:txBody>
      </xdr:sp>
      <xdr:pic macro="[0]!EXIBIR_DATA">
        <xdr:nvPicPr>
          <xdr:cNvPr id="31" name="Gráfico 30" descr="Lupa com preenchimento sólido">
            <a:extLst>
              <a:ext uri="{FF2B5EF4-FFF2-40B4-BE49-F238E27FC236}">
                <a16:creationId xmlns:a16="http://schemas.microsoft.com/office/drawing/2014/main" id="{71BDC5C0-972F-07A2-CAF4-321E0AA81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582402" y="674917"/>
            <a:ext cx="239483" cy="239483"/>
          </a:xfrm>
          <a:prstGeom prst="rect">
            <a:avLst/>
          </a:prstGeom>
        </xdr:spPr>
      </xdr:pic>
    </xdr:grpSp>
    <xdr:clientData fLocksWithSheet="0" fPrintsWithSheet="0"/>
  </xdr:twoCellAnchor>
  <xdr:twoCellAnchor>
    <xdr:from>
      <xdr:col>0</xdr:col>
      <xdr:colOff>65315</xdr:colOff>
      <xdr:row>0</xdr:row>
      <xdr:rowOff>152399</xdr:rowOff>
    </xdr:from>
    <xdr:to>
      <xdr:col>0</xdr:col>
      <xdr:colOff>1709058</xdr:colOff>
      <xdr:row>7</xdr:row>
      <xdr:rowOff>119742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ADB29F27-66BA-8800-75E1-CAB8C8BEA03B}"/>
            </a:ext>
          </a:extLst>
        </xdr:cNvPr>
        <xdr:cNvGrpSpPr/>
      </xdr:nvGrpSpPr>
      <xdr:grpSpPr>
        <a:xfrm>
          <a:off x="65315" y="152399"/>
          <a:ext cx="1643743" cy="1262743"/>
          <a:chOff x="65315" y="152399"/>
          <a:chExt cx="1643743" cy="1262743"/>
        </a:xfrm>
      </xdr:grpSpPr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768A9BEC-0B1B-42CD-8886-90E67A08487B}"/>
              </a:ext>
            </a:extLst>
          </xdr:cNvPr>
          <xdr:cNvSpPr/>
        </xdr:nvSpPr>
        <xdr:spPr>
          <a:xfrm>
            <a:off x="65315" y="152399"/>
            <a:ext cx="1643743" cy="1262743"/>
          </a:xfrm>
          <a:prstGeom prst="round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C713B28-70B5-4F82-8772-1459694F542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/>
          <a:srcRect t="8737"/>
          <a:stretch/>
        </xdr:blipFill>
        <xdr:spPr>
          <a:xfrm>
            <a:off x="283030" y="239484"/>
            <a:ext cx="1121228" cy="1023257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100688</xdr:colOff>
      <xdr:row>11</xdr:row>
      <xdr:rowOff>101018</xdr:rowOff>
    </xdr:from>
    <xdr:to>
      <xdr:col>10</xdr:col>
      <xdr:colOff>185057</xdr:colOff>
      <xdr:row>37</xdr:row>
      <xdr:rowOff>163286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2055CEAD-9F75-4D3A-A2BF-8455D6A0B61A}"/>
            </a:ext>
          </a:extLst>
        </xdr:cNvPr>
        <xdr:cNvGrpSpPr/>
      </xdr:nvGrpSpPr>
      <xdr:grpSpPr>
        <a:xfrm>
          <a:off x="1864174" y="2289047"/>
          <a:ext cx="6006197" cy="4873753"/>
          <a:chOff x="3402807" y="1264426"/>
          <a:chExt cx="8872536" cy="6336524"/>
        </a:xfrm>
      </xdr:grpSpPr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id="{137513CB-0662-40A0-09B8-3412B8D8E871}"/>
              </a:ext>
            </a:extLst>
          </xdr:cNvPr>
          <xdr:cNvGrpSpPr/>
        </xdr:nvGrpSpPr>
        <xdr:grpSpPr>
          <a:xfrm>
            <a:off x="3402807" y="1264444"/>
            <a:ext cx="8872536" cy="6336506"/>
            <a:chOff x="1866060" y="8782050"/>
            <a:chExt cx="12230940" cy="8458200"/>
          </a:xfrm>
        </xdr:grpSpPr>
        <xdr:sp macro="" textlink="">
          <xdr:nvSpPr>
            <xdr:cNvPr id="40" name="Retângulo: Cantos Arredondados 39">
              <a:extLst>
                <a:ext uri="{FF2B5EF4-FFF2-40B4-BE49-F238E27FC236}">
                  <a16:creationId xmlns:a16="http://schemas.microsoft.com/office/drawing/2014/main" id="{379AE611-B780-4473-D325-4B203683F891}"/>
                </a:ext>
              </a:extLst>
            </xdr:cNvPr>
            <xdr:cNvSpPr/>
          </xdr:nvSpPr>
          <xdr:spPr>
            <a:xfrm>
              <a:off x="2066925" y="8782050"/>
              <a:ext cx="12030075" cy="845820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aphicFrame macro="">
          <xdr:nvGraphicFramePr>
            <xdr:cNvPr id="41" name="Gráfico 40">
              <a:extLst>
                <a:ext uri="{FF2B5EF4-FFF2-40B4-BE49-F238E27FC236}">
                  <a16:creationId xmlns:a16="http://schemas.microsoft.com/office/drawing/2014/main" id="{E8801014-20E3-AF70-2C02-13734BC09FCF}"/>
                </a:ext>
              </a:extLst>
            </xdr:cNvPr>
            <xdr:cNvGraphicFramePr>
              <a:graphicFrameLocks/>
            </xdr:cNvGraphicFramePr>
          </xdr:nvGraphicFramePr>
          <xdr:xfrm>
            <a:off x="1866060" y="9786938"/>
            <a:ext cx="12230940" cy="7048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">
          <xdr:nvSpPr>
            <xdr:cNvPr id="42" name="Retângulo: Cantos Superiores Arredondados 41">
              <a:extLst>
                <a:ext uri="{FF2B5EF4-FFF2-40B4-BE49-F238E27FC236}">
                  <a16:creationId xmlns:a16="http://schemas.microsoft.com/office/drawing/2014/main" id="{47943634-A873-7BCF-5307-24E11FBA83B7}"/>
                </a:ext>
              </a:extLst>
            </xdr:cNvPr>
            <xdr:cNvSpPr/>
          </xdr:nvSpPr>
          <xdr:spPr>
            <a:xfrm>
              <a:off x="2066925" y="8782050"/>
              <a:ext cx="11982450" cy="979211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6">
                <a:lumMod val="75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pt-BR" sz="4000">
                  <a:latin typeface="Segoe UI Black" panose="020B0A02040204020203" pitchFamily="34" charset="0"/>
                  <a:ea typeface="Segoe UI Black" panose="020B0A02040204020203" pitchFamily="34" charset="0"/>
                </a:rPr>
                <a:t>ENTRADAS</a:t>
              </a:r>
            </a:p>
          </xdr:txBody>
        </xdr:sp>
      </xdr:grpSp>
      <xdr:pic>
        <xdr:nvPicPr>
          <xdr:cNvPr id="39" name="Gráfico 38" descr="Seguro com preenchimento sólido">
            <a:extLst>
              <a:ext uri="{FF2B5EF4-FFF2-40B4-BE49-F238E27FC236}">
                <a16:creationId xmlns:a16="http://schemas.microsoft.com/office/drawing/2014/main" id="{A67AADCA-A15A-D9E8-2D06-0F3C7EC7AF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3848101" y="1264426"/>
            <a:ext cx="742949" cy="742949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181373</xdr:colOff>
      <xdr:row>0</xdr:row>
      <xdr:rowOff>163286</xdr:rowOff>
    </xdr:from>
    <xdr:to>
      <xdr:col>2</xdr:col>
      <xdr:colOff>587827</xdr:colOff>
      <xdr:row>9</xdr:row>
      <xdr:rowOff>82988</xdr:rowOff>
    </xdr:to>
    <xdr:pic>
      <xdr:nvPicPr>
        <xdr:cNvPr id="52" name="Imagem 51" descr="Simbolo Gestao Financeira Png Imagens – Download Grátis no Freepik">
          <a:extLst>
            <a:ext uri="{FF2B5EF4-FFF2-40B4-BE49-F238E27FC236}">
              <a16:creationId xmlns:a16="http://schemas.microsoft.com/office/drawing/2014/main" id="{5F6B3304-4DF3-0C83-F79D-9B2293354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ackgroundRemoval t="7668" b="94089" l="9581" r="89621">
                      <a14:foregroundMark x1="57485" y1="9585" x2="45509" y2="7668"/>
                      <a14:foregroundMark x1="45509" y1="7668" x2="40519" y2="10383"/>
                      <a14:foregroundMark x1="47904" y1="89457" x2="39721" y2="93610"/>
                      <a14:foregroundMark x1="39721" y1="93610" x2="43513" y2="89617"/>
                      <a14:foregroundMark x1="52295" y1="94089" x2="58483" y2="94089"/>
                      <a14:foregroundMark x1="76846" y1="60703" x2="76629" y2="60703"/>
                      <a14:foregroundMark x1="76491" y1="60863" x2="76846" y2="61502"/>
                      <a14:foregroundMark x1="76701" y1="60863" x2="77844" y2="61981"/>
                      <a14:foregroundMark x1="76589" y1="60753" x2="76701" y2="60863"/>
                      <a14:foregroundMark x1="37525" y1="39936" x2="37525" y2="39936"/>
                      <a14:backgroundMark x1="76048" y1="60224" x2="76048" y2="60224"/>
                      <a14:backgroundMark x1="76248" y1="60863" x2="76248" y2="60863"/>
                      <a14:backgroundMark x1="76048" y1="60863" x2="76048" y2="60863"/>
                      <a14:backgroundMark x1="75250" y1="63259" x2="75250" y2="63259"/>
                      <a14:backgroundMark x1="63473" y1="62939" x2="74850" y2="62939"/>
                      <a14:backgroundMark x1="37725" y1="39936" x2="37725" y2="39617"/>
                      <a14:backgroundMark x1="37325" y1="39776" x2="37325" y2="3977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944859" y="163286"/>
          <a:ext cx="1364397" cy="1737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48898</xdr:colOff>
      <xdr:row>16</xdr:row>
      <xdr:rowOff>111919</xdr:rowOff>
    </xdr:from>
    <xdr:to>
      <xdr:col>20</xdr:col>
      <xdr:colOff>141514</xdr:colOff>
      <xdr:row>36</xdr:row>
      <xdr:rowOff>76200</xdr:rowOff>
    </xdr:to>
    <xdr:graphicFrame macro="">
      <xdr:nvGraphicFramePr>
        <xdr:cNvPr id="59" name="Gráfico 58">
          <a:extLst>
            <a:ext uri="{FF2B5EF4-FFF2-40B4-BE49-F238E27FC236}">
              <a16:creationId xmlns:a16="http://schemas.microsoft.com/office/drawing/2014/main" id="{8C54D19D-CD9B-406C-BDA3-88332F84FF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gnaldo" refreshedDate="45682.742590046299" createdVersion="8" refreshedVersion="8" minRefreshableVersion="3" recordCount="240" xr:uid="{00000000-000A-0000-FFFF-FFFF00000000}">
  <cacheSource type="worksheet">
    <worksheetSource ref="E1:E1048576" sheet="Data"/>
  </cacheSource>
  <cacheFields count="1">
    <cacheField name="Categoria" numFmtId="0">
      <sharedItems containsBlank="1" count="61">
        <s v="DB AP POUP"/>
        <s v="DEB WHATS"/>
        <s v="app"/>
        <s v="AutoPostoVitrine"/>
        <s v="AUTOPISTA FERNAO"/>
        <s v="CRB FPAY"/>
        <s v="SUPERMERCADO CATR"/>
        <s v="DEB IOF"/>
        <s v="DEB JUROS"/>
        <s v="SALDO DIA"/>
        <s v="PParada"/>
        <s v="ENVIO PIX"/>
        <s v="CRED PIX"/>
        <s v="POSTO 72"/>
        <s v="SALARIO"/>
        <s v="DEVREC PIX"/>
        <s v="GISELDA APARECIDA"/>
        <s v="DIA FRANQUIA LJ 9"/>
        <s v="DEB FUNCEF"/>
        <s v="PG *TON FAST DOG"/>
        <s v="FabioDaSilva"/>
        <s v="FARMAVIDA JARINU"/>
        <s v="GOOD MILK SHAKE"/>
        <s v="MARAVILHAS DO LAR MAXIS"/>
        <s v="GEMAXI ADMINISTRA"/>
        <s v="GALPAO GAUCHO"/>
        <s v="MOVIECOM MAXI JUNDIAI"/>
        <s v="BURGER KING"/>
        <s v="SAQUE LOT"/>
        <s v="DROGASIL2881"/>
        <s v="CR RG POUP"/>
        <s v="SAO JOAO CONVENIENCIA"/>
        <s v="PAG BOLETO"/>
        <s v="PREST CDC"/>
        <s v="Comercialagro"/>
        <s v="FACIGAS"/>
        <s v="SEGURADORA"/>
        <s v="NETFLIX.COM"/>
        <s v="SAQUE BIOM"/>
        <s v="MP*PADARIACRISTA"/>
        <s v="AutoPostoSygnus"/>
        <s v="DEB IRPF"/>
        <s v="PigBom"/>
        <s v="SEG RESID"/>
        <s v="DEP DIN AG"/>
        <s v="AutoPostoRecanto"/>
        <s v="ATIBAIA POINT COM"/>
        <s v="COMERCIAL MOURA"/>
        <s v="ATACADAO 633 AS"/>
        <s v="PAG AGUA"/>
        <s v="PG LUZ/GAS"/>
        <s v="SAQ RECIBO"/>
        <s v="PIZZARIA CHOPERIA AVE"/>
        <s v="FBPAY *WA TRXIDXX4594"/>
        <s v="DROGARIA ALIANCA"/>
        <s v="CR CONSIG"/>
        <s v="FUNCEF PREV"/>
        <m/>
        <s v="AP LOTERIA" u="1"/>
        <s v="CR DIV RH" u="1"/>
        <s v="CR SAL RH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gnaldo" refreshedDate="45682.782609722221" createdVersion="8" refreshedVersion="8" minRefreshableVersion="3" recordCount="261" xr:uid="{A0A0A5E5-5BE6-4AB3-B049-B8DB150E40E4}">
  <cacheSource type="worksheet">
    <worksheetSource ref="A1:J1048576" sheet="Data"/>
  </cacheSource>
  <cacheFields count="14">
    <cacheField name="Data" numFmtId="0">
      <sharedItems containsNonDate="0" containsDate="1" containsString="0" containsBlank="1" minDate="2024-11-01T00:00:00" maxDate="2025-01-21T00:00:00" count="44">
        <d v="2024-12-02T00:00:00"/>
        <d v="2024-12-03T00:00:00"/>
        <d v="2024-12-04T00:00:00"/>
        <d v="2024-12-05T00:00:00"/>
        <d v="2024-12-06T00:00:00"/>
        <d v="2024-12-09T00:00:00"/>
        <d v="2024-12-10T00:00:00"/>
        <d v="2024-12-11T00:00:00"/>
        <d v="2024-12-12T00:00:00"/>
        <d v="2024-12-13T00:00:00"/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6T00:00:00"/>
        <d v="2024-12-27T00:00:00"/>
        <d v="2024-12-30T00:00:00"/>
        <d v="2024-12-31T00:00:00"/>
        <d v="2025-01-02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8T00:00:00"/>
        <d v="2024-11-19T00:00:00"/>
        <d v="2024-11-21T00:00:00"/>
        <d v="2024-11-22T00:00:00"/>
        <d v="2024-11-25T00:00:00"/>
        <d v="2024-11-26T00:00:00"/>
        <d v="2024-11-27T00:00:00"/>
        <d v="2024-11-28T00:00:00"/>
        <d v="2024-11-29T00:00:00"/>
        <d v="2024-11-20T00:00:00"/>
        <d v="2025-01-20T00:00:00"/>
        <m/>
      </sharedItems>
      <fieldGroup par="12"/>
    </cacheField>
    <cacheField name="Mês" numFmtId="0">
      <sharedItems containsBlank="1" count="5">
        <s v="Dezembro"/>
        <s v="Janeiro"/>
        <s v="Novembro"/>
        <m/>
        <e v="#VALUE!" u="1"/>
      </sharedItems>
    </cacheField>
    <cacheField name="Ano" numFmtId="0">
      <sharedItems containsString="0" containsBlank="1" containsNumber="1" containsInteger="1" minValue="2024" maxValue="2025" count="3">
        <n v="2024"/>
        <n v="2025"/>
        <m/>
      </sharedItems>
    </cacheField>
    <cacheField name="Tipo" numFmtId="0">
      <sharedItems containsBlank="1" count="31">
        <s v="DEBITO"/>
        <s v="PAI-DIRCE"/>
        <s v="INVESTIMENTO"/>
        <s v="COMBUSTIVEL"/>
        <s v="PEDAGIO/ESTAC"/>
        <s v="RESGATE INVEST"/>
        <s v="SUPERMERCADO"/>
        <s v="TX_JUROS-IOF"/>
        <s v="SALDO"/>
        <s v="PART JLF"/>
        <s v="SALARIO"/>
        <s v="DEV"/>
        <s v="RESTAURANTE"/>
        <s v="PREVIDENCIA PRIV"/>
        <s v="FARMACIA"/>
        <s v="UTENSÍLIOS DOMESTICO"/>
        <s v="ENTRETENIMENTO"/>
        <s v="SAQUE"/>
        <s v="PAG BOLETO"/>
        <s v="EMPRESTIMO"/>
        <s v="PET"/>
        <s v="GAS"/>
        <s v="SEGURO"/>
        <s v="IRPF"/>
        <s v="DEPOSITO"/>
        <s v="AGUA"/>
        <s v="LUZ"/>
        <s v="ECONOMIA"/>
        <m/>
        <e v="#N/A" u="1"/>
        <s v="GAZ" u="1"/>
      </sharedItems>
    </cacheField>
    <cacheField name="Categoria" numFmtId="0">
      <sharedItems containsBlank="1"/>
    </cacheField>
    <cacheField name="Descrição" numFmtId="0">
      <sharedItems containsBlank="1"/>
    </cacheField>
    <cacheField name="Valor" numFmtId="44">
      <sharedItems containsString="0" containsBlank="1" containsNumber="1" minValue="0" maxValue="8017.39"/>
    </cacheField>
    <cacheField name="Operação Bancária" numFmtId="0">
      <sharedItems containsBlank="1"/>
    </cacheField>
    <cacheField name="META" numFmtId="0">
      <sharedItems containsString="0" containsBlank="1" containsNumber="1" containsInteger="1" minValue="0" maxValue="7000"/>
    </cacheField>
    <cacheField name="Status" numFmtId="0">
      <sharedItems containsBlank="1" count="4">
        <s v="SAIDA"/>
        <s v="ENTRADA"/>
        <s v="POUPANÇA"/>
        <m/>
      </sharedItems>
    </cacheField>
    <cacheField name="Meses (Data)" numFmtId="0" databaseField="0">
      <fieldGroup base="0">
        <rangePr groupBy="months" startDate="2024-11-01T00:00:00" endDate="2025-01-21T00:00:00"/>
        <groupItems count="14">
          <s v="&lt;01/11/2024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1/01/2025"/>
        </groupItems>
      </fieldGroup>
    </cacheField>
    <cacheField name="Trimestres (Data)" numFmtId="0" databaseField="0">
      <fieldGroup base="0">
        <rangePr groupBy="quarters" startDate="2024-11-01T00:00:00" endDate="2025-01-21T00:00:00"/>
        <groupItems count="6">
          <s v="&lt;01/11/2024"/>
          <s v="Trim1"/>
          <s v="Trim2"/>
          <s v="Trim3"/>
          <s v="Trim4"/>
          <s v="&gt;21/01/2025"/>
        </groupItems>
      </fieldGroup>
    </cacheField>
    <cacheField name="Anos (Data)" numFmtId="0" databaseField="0">
      <fieldGroup base="0">
        <rangePr groupBy="years" startDate="2024-11-01T00:00:00" endDate="2025-01-21T00:00:00"/>
        <groupItems count="4">
          <s v="&lt;01/11/2024"/>
          <s v="2024"/>
          <s v="2025"/>
          <s v="&gt;21/01/2025"/>
        </groupItems>
      </fieldGroup>
    </cacheField>
    <cacheField name="META DE RESERVA" numFmtId="0" formula="META" databaseField="0"/>
  </cacheFields>
  <extLst>
    <ext xmlns:x14="http://schemas.microsoft.com/office/spreadsheetml/2009/9/main" uri="{725AE2AE-9491-48be-B2B4-4EB974FC3084}">
      <x14:pivotCacheDefinition pivotCacheId="3952486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9"/>
  </r>
  <r>
    <x v="10"/>
  </r>
  <r>
    <x v="9"/>
  </r>
  <r>
    <x v="1"/>
  </r>
  <r>
    <x v="9"/>
  </r>
  <r>
    <x v="1"/>
  </r>
  <r>
    <x v="11"/>
  </r>
  <r>
    <x v="9"/>
  </r>
  <r>
    <x v="11"/>
  </r>
  <r>
    <x v="12"/>
  </r>
  <r>
    <x v="13"/>
  </r>
  <r>
    <x v="10"/>
  </r>
  <r>
    <x v="14"/>
  </r>
  <r>
    <x v="9"/>
  </r>
  <r>
    <x v="11"/>
  </r>
  <r>
    <x v="15"/>
  </r>
  <r>
    <x v="11"/>
  </r>
  <r>
    <x v="15"/>
  </r>
  <r>
    <x v="11"/>
  </r>
  <r>
    <x v="15"/>
  </r>
  <r>
    <x v="11"/>
  </r>
  <r>
    <x v="9"/>
  </r>
  <r>
    <x v="1"/>
  </r>
  <r>
    <x v="10"/>
  </r>
  <r>
    <x v="9"/>
  </r>
  <r>
    <x v="16"/>
  </r>
  <r>
    <x v="17"/>
  </r>
  <r>
    <x v="9"/>
  </r>
  <r>
    <x v="14"/>
  </r>
  <r>
    <x v="18"/>
  </r>
  <r>
    <x v="11"/>
  </r>
  <r>
    <x v="0"/>
  </r>
  <r>
    <x v="11"/>
  </r>
  <r>
    <x v="10"/>
  </r>
  <r>
    <x v="9"/>
  </r>
  <r>
    <x v="19"/>
  </r>
  <r>
    <x v="20"/>
  </r>
  <r>
    <x v="21"/>
  </r>
  <r>
    <x v="22"/>
  </r>
  <r>
    <x v="11"/>
  </r>
  <r>
    <x v="12"/>
  </r>
  <r>
    <x v="9"/>
  </r>
  <r>
    <x v="23"/>
  </r>
  <r>
    <x v="24"/>
  </r>
  <r>
    <x v="25"/>
  </r>
  <r>
    <x v="2"/>
  </r>
  <r>
    <x v="1"/>
  </r>
  <r>
    <x v="9"/>
  </r>
  <r>
    <x v="9"/>
  </r>
  <r>
    <x v="26"/>
  </r>
  <r>
    <x v="26"/>
  </r>
  <r>
    <x v="27"/>
  </r>
  <r>
    <x v="28"/>
  </r>
  <r>
    <x v="29"/>
  </r>
  <r>
    <x v="24"/>
  </r>
  <r>
    <x v="30"/>
  </r>
  <r>
    <x v="31"/>
  </r>
  <r>
    <x v="2"/>
  </r>
  <r>
    <x v="9"/>
  </r>
  <r>
    <x v="30"/>
  </r>
  <r>
    <x v="32"/>
  </r>
  <r>
    <x v="32"/>
  </r>
  <r>
    <x v="32"/>
  </r>
  <r>
    <x v="11"/>
  </r>
  <r>
    <x v="30"/>
  </r>
  <r>
    <x v="33"/>
  </r>
  <r>
    <x v="34"/>
  </r>
  <r>
    <x v="9"/>
  </r>
  <r>
    <x v="35"/>
  </r>
  <r>
    <x v="36"/>
  </r>
  <r>
    <x v="37"/>
  </r>
  <r>
    <x v="11"/>
  </r>
  <r>
    <x v="38"/>
  </r>
  <r>
    <x v="11"/>
  </r>
  <r>
    <x v="9"/>
  </r>
  <r>
    <x v="30"/>
  </r>
  <r>
    <x v="39"/>
  </r>
  <r>
    <x v="10"/>
  </r>
  <r>
    <x v="9"/>
  </r>
  <r>
    <x v="10"/>
  </r>
  <r>
    <x v="9"/>
  </r>
  <r>
    <x v="11"/>
  </r>
  <r>
    <x v="2"/>
  </r>
  <r>
    <x v="40"/>
  </r>
  <r>
    <x v="14"/>
  </r>
  <r>
    <x v="9"/>
  </r>
  <r>
    <x v="41"/>
  </r>
  <r>
    <x v="11"/>
  </r>
  <r>
    <x v="34"/>
  </r>
  <r>
    <x v="42"/>
  </r>
  <r>
    <x v="43"/>
  </r>
  <r>
    <x v="11"/>
  </r>
  <r>
    <x v="2"/>
  </r>
  <r>
    <x v="2"/>
  </r>
  <r>
    <x v="11"/>
  </r>
  <r>
    <x v="40"/>
  </r>
  <r>
    <x v="9"/>
  </r>
  <r>
    <x v="9"/>
  </r>
  <r>
    <x v="30"/>
  </r>
  <r>
    <x v="11"/>
  </r>
  <r>
    <x v="44"/>
  </r>
  <r>
    <x v="7"/>
  </r>
  <r>
    <x v="8"/>
  </r>
  <r>
    <x v="9"/>
  </r>
  <r>
    <x v="12"/>
  </r>
  <r>
    <x v="7"/>
  </r>
  <r>
    <x v="8"/>
  </r>
  <r>
    <x v="9"/>
  </r>
  <r>
    <x v="11"/>
  </r>
  <r>
    <x v="10"/>
  </r>
  <r>
    <x v="9"/>
  </r>
  <r>
    <x v="9"/>
  </r>
  <r>
    <x v="12"/>
  </r>
  <r>
    <x v="9"/>
  </r>
  <r>
    <x v="17"/>
  </r>
  <r>
    <x v="9"/>
  </r>
  <r>
    <x v="45"/>
  </r>
  <r>
    <x v="44"/>
  </r>
  <r>
    <x v="31"/>
  </r>
  <r>
    <x v="17"/>
  </r>
  <r>
    <x v="9"/>
  </r>
  <r>
    <x v="2"/>
  </r>
  <r>
    <x v="12"/>
  </r>
  <r>
    <x v="12"/>
  </r>
  <r>
    <x v="11"/>
  </r>
  <r>
    <x v="44"/>
  </r>
  <r>
    <x v="10"/>
  </r>
  <r>
    <x v="10"/>
  </r>
  <r>
    <x v="9"/>
  </r>
  <r>
    <x v="17"/>
  </r>
  <r>
    <x v="9"/>
  </r>
  <r>
    <x v="44"/>
  </r>
  <r>
    <x v="1"/>
  </r>
  <r>
    <x v="10"/>
  </r>
  <r>
    <x v="17"/>
  </r>
  <r>
    <x v="9"/>
  </r>
  <r>
    <x v="12"/>
  </r>
  <r>
    <x v="46"/>
  </r>
  <r>
    <x v="17"/>
  </r>
  <r>
    <x v="9"/>
  </r>
  <r>
    <x v="11"/>
  </r>
  <r>
    <x v="11"/>
  </r>
  <r>
    <x v="47"/>
  </r>
  <r>
    <x v="47"/>
  </r>
  <r>
    <x v="17"/>
  </r>
  <r>
    <x v="11"/>
  </r>
  <r>
    <x v="1"/>
  </r>
  <r>
    <x v="17"/>
  </r>
  <r>
    <x v="9"/>
  </r>
  <r>
    <x v="45"/>
  </r>
  <r>
    <x v="44"/>
  </r>
  <r>
    <x v="10"/>
  </r>
  <r>
    <x v="9"/>
  </r>
  <r>
    <x v="14"/>
  </r>
  <r>
    <x v="33"/>
  </r>
  <r>
    <x v="0"/>
  </r>
  <r>
    <x v="48"/>
  </r>
  <r>
    <x v="31"/>
  </r>
  <r>
    <x v="11"/>
  </r>
  <r>
    <x v="36"/>
  </r>
  <r>
    <x v="11"/>
  </r>
  <r>
    <x v="11"/>
  </r>
  <r>
    <x v="30"/>
  </r>
  <r>
    <x v="32"/>
  </r>
  <r>
    <x v="32"/>
  </r>
  <r>
    <x v="49"/>
  </r>
  <r>
    <x v="50"/>
  </r>
  <r>
    <x v="11"/>
  </r>
  <r>
    <x v="11"/>
  </r>
  <r>
    <x v="30"/>
  </r>
  <r>
    <x v="5"/>
  </r>
  <r>
    <x v="51"/>
  </r>
  <r>
    <x v="10"/>
  </r>
  <r>
    <x v="17"/>
  </r>
  <r>
    <x v="9"/>
  </r>
  <r>
    <x v="1"/>
  </r>
  <r>
    <x v="9"/>
  </r>
  <r>
    <x v="37"/>
  </r>
  <r>
    <x v="52"/>
  </r>
  <r>
    <x v="12"/>
  </r>
  <r>
    <x v="17"/>
  </r>
  <r>
    <x v="10"/>
  </r>
  <r>
    <x v="17"/>
  </r>
  <r>
    <x v="9"/>
  </r>
  <r>
    <x v="11"/>
  </r>
  <r>
    <x v="1"/>
  </r>
  <r>
    <x v="17"/>
  </r>
  <r>
    <x v="9"/>
  </r>
  <r>
    <x v="53"/>
  </r>
  <r>
    <x v="30"/>
  </r>
  <r>
    <x v="31"/>
  </r>
  <r>
    <x v="9"/>
  </r>
  <r>
    <x v="43"/>
  </r>
  <r>
    <x v="30"/>
  </r>
  <r>
    <x v="17"/>
  </r>
  <r>
    <x v="54"/>
  </r>
  <r>
    <x v="9"/>
  </r>
  <r>
    <x v="41"/>
  </r>
  <r>
    <x v="30"/>
  </r>
  <r>
    <x v="10"/>
  </r>
  <r>
    <x v="55"/>
  </r>
  <r>
    <x v="55"/>
  </r>
  <r>
    <x v="4"/>
  </r>
  <r>
    <x v="9"/>
  </r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56"/>
  </r>
  <r>
    <x v="56"/>
  </r>
  <r>
    <x v="56"/>
  </r>
  <r>
    <x v="56"/>
  </r>
  <r>
    <x v="57"/>
  </r>
  <r>
    <x v="57"/>
  </r>
  <r>
    <x v="57"/>
  </r>
  <r>
    <x v="57"/>
  </r>
  <r>
    <x v="57"/>
  </r>
  <r>
    <x v="57"/>
  </r>
  <r>
    <x v="57"/>
  </r>
  <r>
    <x v="57"/>
  </r>
  <r>
    <x v="57"/>
  </r>
  <r>
    <x v="57"/>
  </r>
  <r>
    <x v="57"/>
  </r>
  <r>
    <x v="5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1">
  <r>
    <x v="0"/>
    <x v="0"/>
    <x v="0"/>
    <x v="0"/>
    <s v="DB AP POUP"/>
    <s v="DB AP POUP"/>
    <n v="900"/>
    <s v="D"/>
    <n v="0"/>
    <x v="0"/>
  </r>
  <r>
    <x v="0"/>
    <x v="0"/>
    <x v="0"/>
    <x v="1"/>
    <s v="DEB WHATS"/>
    <s v="DEB WHATS"/>
    <n v="30"/>
    <s v="D"/>
    <n v="0"/>
    <x v="0"/>
  </r>
  <r>
    <x v="0"/>
    <x v="0"/>
    <x v="0"/>
    <x v="2"/>
    <s v="app"/>
    <s v="app"/>
    <n v="5"/>
    <s v="D"/>
    <n v="0"/>
    <x v="0"/>
  </r>
  <r>
    <x v="0"/>
    <x v="0"/>
    <x v="0"/>
    <x v="3"/>
    <s v="AutoPostoVitrine"/>
    <s v="COMPRA"/>
    <n v="100"/>
    <s v="D"/>
    <n v="0"/>
    <x v="0"/>
  </r>
  <r>
    <x v="0"/>
    <x v="0"/>
    <x v="0"/>
    <x v="4"/>
    <s v="AUTOPISTA FERNAO"/>
    <s v="COMPRA"/>
    <n v="2.9"/>
    <s v="D"/>
    <n v="0"/>
    <x v="0"/>
  </r>
  <r>
    <x v="0"/>
    <x v="0"/>
    <x v="0"/>
    <x v="5"/>
    <s v="CRB FPAY"/>
    <s v="COMPRA"/>
    <n v="10.1"/>
    <s v="D"/>
    <n v="0"/>
    <x v="0"/>
  </r>
  <r>
    <x v="0"/>
    <x v="0"/>
    <x v="0"/>
    <x v="6"/>
    <s v="SUPERMERCADO CATR"/>
    <s v="COMPRA"/>
    <n v="49.16"/>
    <s v="D"/>
    <n v="0"/>
    <x v="0"/>
  </r>
  <r>
    <x v="0"/>
    <x v="0"/>
    <x v="0"/>
    <x v="7"/>
    <s v="DEB IOF"/>
    <s v="DEB IOF"/>
    <n v="6.23"/>
    <s v="D"/>
    <n v="0"/>
    <x v="0"/>
  </r>
  <r>
    <x v="0"/>
    <x v="0"/>
    <x v="0"/>
    <x v="7"/>
    <s v="DEB JUROS"/>
    <s v="DEB JUROS"/>
    <n v="57.1"/>
    <s v="D"/>
    <n v="0"/>
    <x v="0"/>
  </r>
  <r>
    <x v="0"/>
    <x v="0"/>
    <x v="0"/>
    <x v="8"/>
    <s v="SALDO DIA"/>
    <s v="SALDO DIA"/>
    <n v="0"/>
    <s v="D"/>
    <n v="0"/>
    <x v="0"/>
  </r>
  <r>
    <x v="1"/>
    <x v="0"/>
    <x v="0"/>
    <x v="8"/>
    <s v="SALDO DIA"/>
    <s v="SALDO DIA"/>
    <n v="0"/>
    <s v="D"/>
    <n v="0"/>
    <x v="0"/>
  </r>
  <r>
    <x v="2"/>
    <x v="0"/>
    <x v="0"/>
    <x v="3"/>
    <s v="PParada"/>
    <s v="COMPRA"/>
    <n v="100"/>
    <s v="D"/>
    <n v="0"/>
    <x v="0"/>
  </r>
  <r>
    <x v="2"/>
    <x v="0"/>
    <x v="0"/>
    <x v="8"/>
    <s v="SALDO DIA"/>
    <s v="SALDO DIA"/>
    <n v="0"/>
    <s v="D"/>
    <n v="0"/>
    <x v="0"/>
  </r>
  <r>
    <x v="3"/>
    <x v="0"/>
    <x v="0"/>
    <x v="1"/>
    <s v="DEB WHATS"/>
    <s v="DEB WHATS"/>
    <n v="50"/>
    <s v="D"/>
    <n v="0"/>
    <x v="0"/>
  </r>
  <r>
    <x v="3"/>
    <x v="0"/>
    <x v="0"/>
    <x v="8"/>
    <s v="SALDO DIA"/>
    <s v="SALDO DIA"/>
    <n v="0"/>
    <s v="D"/>
    <n v="0"/>
    <x v="0"/>
  </r>
  <r>
    <x v="4"/>
    <x v="0"/>
    <x v="0"/>
    <x v="1"/>
    <s v="DEB WHATS"/>
    <s v="DEB WHATS"/>
    <n v="10"/>
    <s v="D"/>
    <n v="0"/>
    <x v="0"/>
  </r>
  <r>
    <x v="4"/>
    <x v="0"/>
    <x v="0"/>
    <x v="1"/>
    <s v="ENVIO PIX"/>
    <s v="ENVIO PIX"/>
    <n v="60"/>
    <s v="D"/>
    <n v="0"/>
    <x v="0"/>
  </r>
  <r>
    <x v="4"/>
    <x v="0"/>
    <x v="0"/>
    <x v="8"/>
    <s v="SALDO DIA"/>
    <s v="SALDO DIA"/>
    <n v="0"/>
    <s v="D"/>
    <n v="0"/>
    <x v="0"/>
  </r>
  <r>
    <x v="5"/>
    <x v="0"/>
    <x v="0"/>
    <x v="1"/>
    <s v="ENVIO PIX"/>
    <s v="ENVIO PIX"/>
    <n v="108"/>
    <s v="D"/>
    <n v="0"/>
    <x v="0"/>
  </r>
  <r>
    <x v="5"/>
    <x v="0"/>
    <x v="0"/>
    <x v="9"/>
    <s v="CRED PIX"/>
    <s v="CRED PIX"/>
    <n v="50"/>
    <s v="C"/>
    <n v="0"/>
    <x v="1"/>
  </r>
  <r>
    <x v="5"/>
    <x v="0"/>
    <x v="0"/>
    <x v="3"/>
    <s v="POSTO 72"/>
    <s v="COMPRA"/>
    <n v="30"/>
    <s v="D"/>
    <n v="0"/>
    <x v="0"/>
  </r>
  <r>
    <x v="5"/>
    <x v="0"/>
    <x v="0"/>
    <x v="3"/>
    <s v="PParada"/>
    <s v="COMPRA"/>
    <n v="100"/>
    <s v="D"/>
    <n v="0"/>
    <x v="0"/>
  </r>
  <r>
    <x v="5"/>
    <x v="0"/>
    <x v="0"/>
    <x v="10"/>
    <s v="SALARIO"/>
    <s v="SALARIO"/>
    <n v="581.77"/>
    <s v="C"/>
    <n v="0"/>
    <x v="1"/>
  </r>
  <r>
    <x v="5"/>
    <x v="0"/>
    <x v="0"/>
    <x v="8"/>
    <s v="SALDO DIA"/>
    <s v="SALDO DIA"/>
    <n v="0"/>
    <s v="D"/>
    <n v="0"/>
    <x v="0"/>
  </r>
  <r>
    <x v="6"/>
    <x v="0"/>
    <x v="0"/>
    <x v="1"/>
    <s v="ENVIO PIX"/>
    <s v="ENVIO PIX"/>
    <n v="10.02"/>
    <s v="D"/>
    <n v="0"/>
    <x v="0"/>
  </r>
  <r>
    <x v="6"/>
    <x v="0"/>
    <x v="0"/>
    <x v="11"/>
    <s v="DEVREC PIX"/>
    <s v="DEVREC PIX"/>
    <n v="10.02"/>
    <s v="C"/>
    <n v="0"/>
    <x v="1"/>
  </r>
  <r>
    <x v="6"/>
    <x v="0"/>
    <x v="0"/>
    <x v="1"/>
    <s v="ENVIO PIX"/>
    <s v="ENVIO PIX"/>
    <n v="10.02"/>
    <s v="D"/>
    <n v="0"/>
    <x v="0"/>
  </r>
  <r>
    <x v="6"/>
    <x v="0"/>
    <x v="0"/>
    <x v="11"/>
    <s v="DEVREC PIX"/>
    <s v="DEVREC PIX"/>
    <n v="10.02"/>
    <s v="C"/>
    <n v="0"/>
    <x v="1"/>
  </r>
  <r>
    <x v="6"/>
    <x v="0"/>
    <x v="0"/>
    <x v="1"/>
    <s v="ENVIO PIX"/>
    <s v="ENVIO PIX"/>
    <n v="10.02"/>
    <s v="D"/>
    <n v="0"/>
    <x v="0"/>
  </r>
  <r>
    <x v="6"/>
    <x v="0"/>
    <x v="0"/>
    <x v="11"/>
    <s v="DEVREC PIX"/>
    <s v="DEVREC PIX"/>
    <n v="10.02"/>
    <s v="C"/>
    <n v="0"/>
    <x v="1"/>
  </r>
  <r>
    <x v="6"/>
    <x v="0"/>
    <x v="0"/>
    <x v="1"/>
    <s v="ENVIO PIX"/>
    <s v="ENVIO PIX"/>
    <n v="4.9000000000000004"/>
    <s v="D"/>
    <n v="0"/>
    <x v="0"/>
  </r>
  <r>
    <x v="6"/>
    <x v="0"/>
    <x v="0"/>
    <x v="8"/>
    <s v="SALDO DIA"/>
    <s v="SALDO DIA"/>
    <n v="0"/>
    <s v="D"/>
    <n v="0"/>
    <x v="0"/>
  </r>
  <r>
    <x v="7"/>
    <x v="0"/>
    <x v="0"/>
    <x v="1"/>
    <s v="DEB WHATS"/>
    <s v="DEB WHATS"/>
    <n v="40"/>
    <s v="D"/>
    <n v="0"/>
    <x v="0"/>
  </r>
  <r>
    <x v="7"/>
    <x v="0"/>
    <x v="0"/>
    <x v="3"/>
    <s v="PParada"/>
    <s v="COMPRA"/>
    <n v="100"/>
    <s v="D"/>
    <n v="0"/>
    <x v="0"/>
  </r>
  <r>
    <x v="7"/>
    <x v="0"/>
    <x v="0"/>
    <x v="8"/>
    <s v="SALDO DIA"/>
    <s v="SALDO DIA"/>
    <n v="0"/>
    <s v="D"/>
    <n v="0"/>
    <x v="0"/>
  </r>
  <r>
    <x v="8"/>
    <x v="0"/>
    <x v="0"/>
    <x v="12"/>
    <s v="GISELDA APARECIDA"/>
    <s v="COMPRA"/>
    <n v="135"/>
    <s v="D"/>
    <n v="0"/>
    <x v="0"/>
  </r>
  <r>
    <x v="8"/>
    <x v="0"/>
    <x v="0"/>
    <x v="6"/>
    <s v="DIA FRANQUIA LJ 9"/>
    <s v="COMPRA"/>
    <n v="32.659999999999997"/>
    <s v="D"/>
    <n v="0"/>
    <x v="0"/>
  </r>
  <r>
    <x v="8"/>
    <x v="0"/>
    <x v="0"/>
    <x v="8"/>
    <s v="SALDO DIA"/>
    <s v="SALDO DIA"/>
    <n v="0"/>
    <s v="D"/>
    <n v="0"/>
    <x v="0"/>
  </r>
  <r>
    <x v="9"/>
    <x v="0"/>
    <x v="0"/>
    <x v="10"/>
    <s v="SALARIO"/>
    <s v="SALARIO"/>
    <n v="5670.45"/>
    <s v="C"/>
    <n v="0"/>
    <x v="1"/>
  </r>
  <r>
    <x v="9"/>
    <x v="0"/>
    <x v="0"/>
    <x v="13"/>
    <s v="DEB FUNCEF"/>
    <s v="DEB FUNCEF"/>
    <n v="1434.93"/>
    <s v="D"/>
    <n v="0"/>
    <x v="0"/>
  </r>
  <r>
    <x v="9"/>
    <x v="0"/>
    <x v="0"/>
    <x v="1"/>
    <s v="ENVIO PIX"/>
    <s v="ENVIO PIX"/>
    <n v="35"/>
    <s v="D"/>
    <n v="0"/>
    <x v="0"/>
  </r>
  <r>
    <x v="9"/>
    <x v="0"/>
    <x v="0"/>
    <x v="0"/>
    <s v="DB AP POUP"/>
    <s v="DB AP POUP"/>
    <n v="3700"/>
    <s v="D"/>
    <n v="0"/>
    <x v="0"/>
  </r>
  <r>
    <x v="9"/>
    <x v="0"/>
    <x v="0"/>
    <x v="1"/>
    <s v="ENVIO PIX"/>
    <s v="ENVIO PIX"/>
    <n v="25"/>
    <s v="D"/>
    <n v="0"/>
    <x v="0"/>
  </r>
  <r>
    <x v="9"/>
    <x v="0"/>
    <x v="0"/>
    <x v="3"/>
    <s v="PParada"/>
    <s v="COMPRA"/>
    <n v="100"/>
    <s v="D"/>
    <n v="0"/>
    <x v="0"/>
  </r>
  <r>
    <x v="9"/>
    <x v="0"/>
    <x v="0"/>
    <x v="8"/>
    <s v="SALDO DIA"/>
    <s v="SALDO DIA"/>
    <n v="0"/>
    <s v="C"/>
    <n v="0"/>
    <x v="1"/>
  </r>
  <r>
    <x v="10"/>
    <x v="0"/>
    <x v="0"/>
    <x v="12"/>
    <s v="PG *TON FAST DOG"/>
    <s v="COMPRA"/>
    <n v="129"/>
    <s v="D"/>
    <n v="0"/>
    <x v="0"/>
  </r>
  <r>
    <x v="10"/>
    <x v="0"/>
    <x v="0"/>
    <x v="12"/>
    <s v="FabioDaSilva"/>
    <s v="COMPRA"/>
    <n v="14"/>
    <s v="D"/>
    <n v="0"/>
    <x v="0"/>
  </r>
  <r>
    <x v="10"/>
    <x v="0"/>
    <x v="0"/>
    <x v="14"/>
    <s v="FARMAVIDA JARINU"/>
    <s v="COMPRA"/>
    <n v="9.99"/>
    <s v="D"/>
    <n v="0"/>
    <x v="0"/>
  </r>
  <r>
    <x v="10"/>
    <x v="0"/>
    <x v="0"/>
    <x v="12"/>
    <s v="GOOD MILK SHAKE"/>
    <s v="COMPRA"/>
    <n v="36"/>
    <s v="D"/>
    <n v="0"/>
    <x v="0"/>
  </r>
  <r>
    <x v="10"/>
    <x v="0"/>
    <x v="0"/>
    <x v="1"/>
    <s v="ENVIO PIX"/>
    <s v="ENVIO PIX"/>
    <n v="117"/>
    <s v="D"/>
    <n v="0"/>
    <x v="0"/>
  </r>
  <r>
    <x v="10"/>
    <x v="0"/>
    <x v="0"/>
    <x v="9"/>
    <s v="CRED PIX"/>
    <s v="CRED PIX"/>
    <n v="1"/>
    <s v="C"/>
    <n v="0"/>
    <x v="1"/>
  </r>
  <r>
    <x v="10"/>
    <x v="0"/>
    <x v="0"/>
    <x v="8"/>
    <s v="SALDO DIA"/>
    <s v="SALDO DIA"/>
    <n v="0"/>
    <s v="D"/>
    <n v="0"/>
    <x v="0"/>
  </r>
  <r>
    <x v="11"/>
    <x v="0"/>
    <x v="0"/>
    <x v="15"/>
    <s v="MARAVILHAS DO LAR MAXIS"/>
    <s v="COMPRA"/>
    <n v="39.979999999999997"/>
    <s v="D"/>
    <n v="0"/>
    <x v="0"/>
  </r>
  <r>
    <x v="11"/>
    <x v="0"/>
    <x v="0"/>
    <x v="4"/>
    <s v="GEMAXI ADMINISTRA"/>
    <s v="COMPRA"/>
    <n v="14"/>
    <s v="D"/>
    <n v="0"/>
    <x v="0"/>
  </r>
  <r>
    <x v="11"/>
    <x v="0"/>
    <x v="0"/>
    <x v="12"/>
    <s v="GALPAO GAUCHO"/>
    <s v="COMPRA"/>
    <n v="64"/>
    <s v="D"/>
    <n v="0"/>
    <x v="0"/>
  </r>
  <r>
    <x v="11"/>
    <x v="0"/>
    <x v="0"/>
    <x v="2"/>
    <s v="app"/>
    <s v="app"/>
    <n v="5"/>
    <s v="D"/>
    <n v="0"/>
    <x v="0"/>
  </r>
  <r>
    <x v="11"/>
    <x v="0"/>
    <x v="0"/>
    <x v="1"/>
    <s v="DEB WHATS"/>
    <s v="DEB WHATS"/>
    <n v="100"/>
    <s v="D"/>
    <n v="0"/>
    <x v="0"/>
  </r>
  <r>
    <x v="11"/>
    <x v="0"/>
    <x v="0"/>
    <x v="8"/>
    <s v="SALDO DIA"/>
    <s v="SALDO DIA"/>
    <n v="0"/>
    <s v="D"/>
    <n v="0"/>
    <x v="0"/>
  </r>
  <r>
    <x v="12"/>
    <x v="0"/>
    <x v="0"/>
    <x v="8"/>
    <s v="SALDO DIA"/>
    <s v="SALDO DIA"/>
    <n v="0"/>
    <s v="D"/>
    <n v="0"/>
    <x v="0"/>
  </r>
  <r>
    <x v="13"/>
    <x v="0"/>
    <x v="0"/>
    <x v="16"/>
    <s v="MOVIECOM MAXI JUNDIAI"/>
    <s v="COMPRA"/>
    <n v="105"/>
    <s v="D"/>
    <n v="0"/>
    <x v="0"/>
  </r>
  <r>
    <x v="13"/>
    <x v="0"/>
    <x v="0"/>
    <x v="16"/>
    <s v="MOVIECOM MAXI JUNDIAI"/>
    <s v="COMPRA"/>
    <n v="15.5"/>
    <s v="D"/>
    <n v="0"/>
    <x v="0"/>
  </r>
  <r>
    <x v="13"/>
    <x v="0"/>
    <x v="0"/>
    <x v="12"/>
    <s v="BURGER KING"/>
    <s v="COMPRA"/>
    <n v="87.7"/>
    <s v="D"/>
    <n v="0"/>
    <x v="0"/>
  </r>
  <r>
    <x v="13"/>
    <x v="0"/>
    <x v="0"/>
    <x v="17"/>
    <s v="SAQUE LOT"/>
    <s v="SAQUE LOT"/>
    <n v="20"/>
    <s v="D"/>
    <n v="0"/>
    <x v="0"/>
  </r>
  <r>
    <x v="13"/>
    <x v="0"/>
    <x v="0"/>
    <x v="14"/>
    <s v="DROGASIL2881"/>
    <s v="COMPRA"/>
    <n v="195.55"/>
    <s v="D"/>
    <n v="0"/>
    <x v="0"/>
  </r>
  <r>
    <x v="13"/>
    <x v="0"/>
    <x v="0"/>
    <x v="4"/>
    <s v="GEMAXI ADMINISTRA"/>
    <s v="COMPRA"/>
    <n v="14"/>
    <s v="D"/>
    <n v="0"/>
    <x v="0"/>
  </r>
  <r>
    <x v="13"/>
    <x v="0"/>
    <x v="0"/>
    <x v="10"/>
    <s v="CR RG POUP"/>
    <s v="CR RG POUP"/>
    <n v="200"/>
    <s v="C"/>
    <n v="0"/>
    <x v="1"/>
  </r>
  <r>
    <x v="13"/>
    <x v="0"/>
    <x v="0"/>
    <x v="12"/>
    <s v="SAO JOAO CONVENIENCIA"/>
    <s v="COMPRA"/>
    <n v="100"/>
    <s v="D"/>
    <n v="0"/>
    <x v="0"/>
  </r>
  <r>
    <x v="13"/>
    <x v="0"/>
    <x v="0"/>
    <x v="2"/>
    <s v="APP"/>
    <s v="app"/>
    <n v="5"/>
    <s v="D"/>
    <n v="0"/>
    <x v="0"/>
  </r>
  <r>
    <x v="13"/>
    <x v="0"/>
    <x v="0"/>
    <x v="8"/>
    <s v="SALDO DIA"/>
    <s v="SALDO DIA"/>
    <n v="0"/>
    <s v="D"/>
    <n v="0"/>
    <x v="0"/>
  </r>
  <r>
    <x v="14"/>
    <x v="0"/>
    <x v="0"/>
    <x v="10"/>
    <s v="CR RG POUP"/>
    <s v="CR RG POUP"/>
    <n v="3500"/>
    <s v="C"/>
    <n v="0"/>
    <x v="1"/>
  </r>
  <r>
    <x v="14"/>
    <x v="0"/>
    <x v="0"/>
    <x v="18"/>
    <s v="PAG BOLETO"/>
    <s v="PAG BOLETO"/>
    <n v="2506.44"/>
    <s v="D"/>
    <n v="0"/>
    <x v="0"/>
  </r>
  <r>
    <x v="14"/>
    <x v="0"/>
    <x v="0"/>
    <x v="18"/>
    <s v="PAG BOLETO"/>
    <s v="PAG BOLETO"/>
    <n v="246.6"/>
    <s v="D"/>
    <n v="0"/>
    <x v="0"/>
  </r>
  <r>
    <x v="14"/>
    <x v="0"/>
    <x v="0"/>
    <x v="18"/>
    <s v="PAG BOLETO"/>
    <s v="PAG BOLETO"/>
    <n v="311.33"/>
    <s v="D"/>
    <n v="0"/>
    <x v="0"/>
  </r>
  <r>
    <x v="14"/>
    <x v="0"/>
    <x v="0"/>
    <x v="1"/>
    <s v="ENVIO PIX"/>
    <s v="ENVIO PIX"/>
    <n v="129.9"/>
    <s v="D"/>
    <n v="0"/>
    <x v="0"/>
  </r>
  <r>
    <x v="14"/>
    <x v="0"/>
    <x v="0"/>
    <x v="10"/>
    <s v="CR RG POUP"/>
    <s v="CR RG POUP"/>
    <n v="500"/>
    <s v="C"/>
    <n v="0"/>
    <x v="1"/>
  </r>
  <r>
    <x v="14"/>
    <x v="0"/>
    <x v="0"/>
    <x v="19"/>
    <s v="PREST CDC"/>
    <s v="PREST CDC"/>
    <n v="561.75"/>
    <s v="D"/>
    <n v="0"/>
    <x v="0"/>
  </r>
  <r>
    <x v="14"/>
    <x v="0"/>
    <x v="0"/>
    <x v="20"/>
    <s v="Comercialagro"/>
    <s v="COMPRA"/>
    <n v="10"/>
    <s v="D"/>
    <n v="0"/>
    <x v="0"/>
  </r>
  <r>
    <x v="14"/>
    <x v="0"/>
    <x v="0"/>
    <x v="8"/>
    <s v="SALDO DIA"/>
    <s v="SALDO DIA"/>
    <n v="0"/>
    <s v="D"/>
    <n v="0"/>
    <x v="0"/>
  </r>
  <r>
    <x v="15"/>
    <x v="0"/>
    <x v="0"/>
    <x v="21"/>
    <s v="FACIGAS"/>
    <s v="COMPRA"/>
    <n v="110"/>
    <s v="D"/>
    <n v="0"/>
    <x v="0"/>
  </r>
  <r>
    <x v="15"/>
    <x v="0"/>
    <x v="0"/>
    <x v="22"/>
    <s v="SEGURADORA"/>
    <s v="SEGURADORA"/>
    <n v="80.66"/>
    <s v="D"/>
    <n v="0"/>
    <x v="0"/>
  </r>
  <r>
    <x v="15"/>
    <x v="0"/>
    <x v="0"/>
    <x v="16"/>
    <s v="NETFLIX.COM"/>
    <s v="COMPRA"/>
    <n v="44.9"/>
    <s v="D"/>
    <n v="0"/>
    <x v="0"/>
  </r>
  <r>
    <x v="15"/>
    <x v="0"/>
    <x v="0"/>
    <x v="1"/>
    <s v="ENVIO PIX"/>
    <s v="ENVIO PIX"/>
    <n v="28"/>
    <s v="D"/>
    <n v="0"/>
    <x v="0"/>
  </r>
  <r>
    <x v="15"/>
    <x v="0"/>
    <x v="0"/>
    <x v="17"/>
    <s v="SAQUE BIOM"/>
    <s v="SAQUE BIOM"/>
    <n v="16"/>
    <s v="D"/>
    <n v="0"/>
    <x v="0"/>
  </r>
  <r>
    <x v="15"/>
    <x v="0"/>
    <x v="0"/>
    <x v="1"/>
    <s v="ENVIO PIX"/>
    <s v="ENVIO PIX"/>
    <n v="49"/>
    <s v="D"/>
    <n v="0"/>
    <x v="0"/>
  </r>
  <r>
    <x v="15"/>
    <x v="0"/>
    <x v="0"/>
    <x v="8"/>
    <s v="SALDO DIA"/>
    <s v="SALDO DIA"/>
    <n v="0"/>
    <s v="D"/>
    <n v="0"/>
    <x v="0"/>
  </r>
  <r>
    <x v="16"/>
    <x v="0"/>
    <x v="0"/>
    <x v="10"/>
    <s v="CR RG POUP"/>
    <s v="CR RG POUP"/>
    <n v="200"/>
    <s v="C"/>
    <n v="0"/>
    <x v="1"/>
  </r>
  <r>
    <x v="16"/>
    <x v="0"/>
    <x v="0"/>
    <x v="12"/>
    <s v="MP*PADARIACRISTA"/>
    <s v="COMPRA"/>
    <n v="10.4"/>
    <s v="D"/>
    <n v="0"/>
    <x v="0"/>
  </r>
  <r>
    <x v="16"/>
    <x v="0"/>
    <x v="0"/>
    <x v="3"/>
    <s v="PParada"/>
    <s v="COMPRA"/>
    <n v="50"/>
    <s v="D"/>
    <n v="0"/>
    <x v="0"/>
  </r>
  <r>
    <x v="16"/>
    <x v="0"/>
    <x v="0"/>
    <x v="8"/>
    <s v="SALDO DIA"/>
    <s v="SALDO DIA"/>
    <n v="0"/>
    <s v="D"/>
    <n v="0"/>
    <x v="0"/>
  </r>
  <r>
    <x v="17"/>
    <x v="0"/>
    <x v="0"/>
    <x v="3"/>
    <s v="PParada"/>
    <s v="COMPRA"/>
    <n v="50"/>
    <s v="D"/>
    <n v="0"/>
    <x v="0"/>
  </r>
  <r>
    <x v="17"/>
    <x v="0"/>
    <x v="0"/>
    <x v="8"/>
    <s v="SALDO DIA"/>
    <s v="SALDO DIA"/>
    <n v="0"/>
    <s v="D"/>
    <n v="0"/>
    <x v="0"/>
  </r>
  <r>
    <x v="18"/>
    <x v="0"/>
    <x v="0"/>
    <x v="1"/>
    <s v="ENVIO PIX"/>
    <s v="ENVIO PIX"/>
    <n v="25.5"/>
    <s v="D"/>
    <n v="0"/>
    <x v="0"/>
  </r>
  <r>
    <x v="18"/>
    <x v="0"/>
    <x v="0"/>
    <x v="2"/>
    <s v="APP"/>
    <s v="app"/>
    <n v="5"/>
    <s v="D"/>
    <n v="0"/>
    <x v="0"/>
  </r>
  <r>
    <x v="18"/>
    <x v="0"/>
    <x v="0"/>
    <x v="3"/>
    <s v="AutoPostoSygnus"/>
    <s v="COMPRA"/>
    <n v="50"/>
    <s v="D"/>
    <n v="0"/>
    <x v="0"/>
  </r>
  <r>
    <x v="18"/>
    <x v="0"/>
    <x v="0"/>
    <x v="10"/>
    <s v="SALARIO"/>
    <s v="SALARIO"/>
    <n v="565.71"/>
    <s v="C"/>
    <n v="0"/>
    <x v="1"/>
  </r>
  <r>
    <x v="18"/>
    <x v="0"/>
    <x v="0"/>
    <x v="8"/>
    <s v="SALDO DIA"/>
    <s v="SALDO DIA"/>
    <n v="0"/>
    <s v="D"/>
    <n v="0"/>
    <x v="0"/>
  </r>
  <r>
    <x v="19"/>
    <x v="0"/>
    <x v="0"/>
    <x v="23"/>
    <s v="DEB IRPF"/>
    <s v="DEB IRPF"/>
    <n v="56.25"/>
    <s v="D"/>
    <n v="0"/>
    <x v="0"/>
  </r>
  <r>
    <x v="19"/>
    <x v="0"/>
    <x v="0"/>
    <x v="1"/>
    <s v="ENVIO PIX"/>
    <s v="ENVIO PIX"/>
    <n v="118"/>
    <s v="D"/>
    <n v="0"/>
    <x v="0"/>
  </r>
  <r>
    <x v="19"/>
    <x v="0"/>
    <x v="0"/>
    <x v="20"/>
    <s v="Comercialagro"/>
    <s v="COMPRA"/>
    <n v="10"/>
    <s v="D"/>
    <n v="0"/>
    <x v="0"/>
  </r>
  <r>
    <x v="19"/>
    <x v="0"/>
    <x v="0"/>
    <x v="12"/>
    <s v="PigBom"/>
    <s v="COMPRA"/>
    <n v="66.510000000000005"/>
    <s v="D"/>
    <n v="0"/>
    <x v="0"/>
  </r>
  <r>
    <x v="19"/>
    <x v="0"/>
    <x v="0"/>
    <x v="22"/>
    <s v="SEG RESID"/>
    <s v="SEG RESID"/>
    <n v="72.17"/>
    <s v="D"/>
    <n v="0"/>
    <x v="0"/>
  </r>
  <r>
    <x v="19"/>
    <x v="0"/>
    <x v="0"/>
    <x v="1"/>
    <s v="ENVIO PIX"/>
    <s v="ENVIO PIX"/>
    <n v="25"/>
    <s v="D"/>
    <n v="0"/>
    <x v="0"/>
  </r>
  <r>
    <x v="19"/>
    <x v="0"/>
    <x v="0"/>
    <x v="2"/>
    <s v="APP"/>
    <s v="app"/>
    <n v="10"/>
    <s v="D"/>
    <n v="0"/>
    <x v="0"/>
  </r>
  <r>
    <x v="19"/>
    <x v="0"/>
    <x v="0"/>
    <x v="2"/>
    <s v="APP"/>
    <s v="app"/>
    <n v="10"/>
    <s v="D"/>
    <n v="0"/>
    <x v="0"/>
  </r>
  <r>
    <x v="19"/>
    <x v="0"/>
    <x v="0"/>
    <x v="1"/>
    <s v="ENVIO PIX"/>
    <s v="ENVIO PIX"/>
    <n v="180"/>
    <s v="D"/>
    <n v="0"/>
    <x v="0"/>
  </r>
  <r>
    <x v="19"/>
    <x v="0"/>
    <x v="0"/>
    <x v="3"/>
    <s v="AutoPostoSygnus"/>
    <s v="COMPRA"/>
    <n v="100"/>
    <s v="D"/>
    <n v="0"/>
    <x v="0"/>
  </r>
  <r>
    <x v="19"/>
    <x v="0"/>
    <x v="0"/>
    <x v="8"/>
    <s v="SALDO DIA"/>
    <s v="SALDO DIA"/>
    <n v="0"/>
    <s v="D"/>
    <n v="0"/>
    <x v="0"/>
  </r>
  <r>
    <x v="20"/>
    <x v="0"/>
    <x v="0"/>
    <x v="8"/>
    <s v="SALDO DIA"/>
    <s v="SALDO DIA"/>
    <n v="0"/>
    <s v="D"/>
    <n v="0"/>
    <x v="0"/>
  </r>
  <r>
    <x v="21"/>
    <x v="1"/>
    <x v="1"/>
    <x v="10"/>
    <s v="CR RG POUP"/>
    <s v="CR RG POUP"/>
    <n v="400"/>
    <s v="C"/>
    <n v="0"/>
    <x v="1"/>
  </r>
  <r>
    <x v="21"/>
    <x v="1"/>
    <x v="1"/>
    <x v="1"/>
    <s v="ENVIO PIX"/>
    <s v="ENVIO PIX"/>
    <n v="28"/>
    <s v="D"/>
    <n v="0"/>
    <x v="0"/>
  </r>
  <r>
    <x v="21"/>
    <x v="1"/>
    <x v="1"/>
    <x v="24"/>
    <s v="DEP DIN AG"/>
    <s v="DEP DIN AG"/>
    <n v="75"/>
    <s v="C"/>
    <n v="0"/>
    <x v="1"/>
  </r>
  <r>
    <x v="21"/>
    <x v="1"/>
    <x v="1"/>
    <x v="7"/>
    <s v="DEB IOF"/>
    <s v="DEB IOF"/>
    <n v="10.83"/>
    <s v="D"/>
    <n v="0"/>
    <x v="0"/>
  </r>
  <r>
    <x v="21"/>
    <x v="1"/>
    <x v="1"/>
    <x v="7"/>
    <s v="DEB JUROS"/>
    <s v="DEB JUROS"/>
    <n v="31.22"/>
    <s v="D"/>
    <n v="0"/>
    <x v="0"/>
  </r>
  <r>
    <x v="21"/>
    <x v="1"/>
    <x v="1"/>
    <x v="8"/>
    <s v="SALDO DIA"/>
    <s v="SALDO DIA"/>
    <n v="0"/>
    <s v="D"/>
    <n v="0"/>
    <x v="0"/>
  </r>
  <r>
    <x v="22"/>
    <x v="2"/>
    <x v="0"/>
    <x v="9"/>
    <s v="CRED PIX"/>
    <s v="CRED PIX"/>
    <n v="170"/>
    <s v="C"/>
    <n v="0"/>
    <x v="1"/>
  </r>
  <r>
    <x v="22"/>
    <x v="2"/>
    <x v="0"/>
    <x v="7"/>
    <s v="DEB IOF"/>
    <s v="DEB IOF"/>
    <n v="6.77"/>
    <s v="D"/>
    <n v="0"/>
    <x v="0"/>
  </r>
  <r>
    <x v="22"/>
    <x v="2"/>
    <x v="0"/>
    <x v="7"/>
    <s v="DEB JUROS"/>
    <s v="DEB JUROS"/>
    <n v="52.12"/>
    <s v="D"/>
    <n v="0"/>
    <x v="0"/>
  </r>
  <r>
    <x v="22"/>
    <x v="2"/>
    <x v="0"/>
    <x v="8"/>
    <s v="SALDO DIA"/>
    <s v="SALDO DIA"/>
    <n v="0"/>
    <s v="D"/>
    <n v="0"/>
    <x v="0"/>
  </r>
  <r>
    <x v="23"/>
    <x v="2"/>
    <x v="0"/>
    <x v="1"/>
    <s v="ENVIO PIX"/>
    <s v="ENVIO PIX"/>
    <n v="85"/>
    <s v="D"/>
    <n v="0"/>
    <x v="0"/>
  </r>
  <r>
    <x v="23"/>
    <x v="2"/>
    <x v="0"/>
    <x v="3"/>
    <s v="PParada"/>
    <s v="COMPRA"/>
    <n v="70"/>
    <s v="D"/>
    <n v="0"/>
    <x v="0"/>
  </r>
  <r>
    <x v="23"/>
    <x v="2"/>
    <x v="0"/>
    <x v="8"/>
    <s v="SALDO DIA"/>
    <s v="SALDO DIA"/>
    <n v="0"/>
    <s v="D"/>
    <n v="0"/>
    <x v="0"/>
  </r>
  <r>
    <x v="24"/>
    <x v="2"/>
    <x v="0"/>
    <x v="8"/>
    <s v="SALDO DIA"/>
    <s v="SALDO DIA"/>
    <n v="0"/>
    <s v="D"/>
    <n v="0"/>
    <x v="0"/>
  </r>
  <r>
    <x v="25"/>
    <x v="2"/>
    <x v="0"/>
    <x v="9"/>
    <s v="CRED PIX"/>
    <s v="CRED PIX"/>
    <n v="150"/>
    <s v="C"/>
    <n v="0"/>
    <x v="1"/>
  </r>
  <r>
    <x v="25"/>
    <x v="2"/>
    <x v="0"/>
    <x v="8"/>
    <s v="SALDO DIA"/>
    <s v="SALDO DIA"/>
    <n v="0"/>
    <s v="D"/>
    <n v="0"/>
    <x v="0"/>
  </r>
  <r>
    <x v="26"/>
    <x v="2"/>
    <x v="0"/>
    <x v="6"/>
    <s v="DIA FRANQUIA LJ 9"/>
    <s v="COMPRA"/>
    <n v="26"/>
    <s v="D"/>
    <n v="0"/>
    <x v="0"/>
  </r>
  <r>
    <x v="26"/>
    <x v="2"/>
    <x v="0"/>
    <x v="8"/>
    <s v="SALDO DIA"/>
    <s v="SALDO DIA"/>
    <n v="0"/>
    <s v="D"/>
    <n v="0"/>
    <x v="0"/>
  </r>
  <r>
    <x v="27"/>
    <x v="2"/>
    <x v="0"/>
    <x v="3"/>
    <s v="AutoPostoRecanto"/>
    <s v="COMPRA"/>
    <n v="20"/>
    <s v="D"/>
    <n v="0"/>
    <x v="0"/>
  </r>
  <r>
    <x v="27"/>
    <x v="2"/>
    <x v="0"/>
    <x v="24"/>
    <s v="DEP DIN AG"/>
    <s v="DEP DIN AG"/>
    <n v="50"/>
    <s v="C"/>
    <n v="0"/>
    <x v="1"/>
  </r>
  <r>
    <x v="27"/>
    <x v="2"/>
    <x v="0"/>
    <x v="12"/>
    <s v="SAO JOAO CONVENIENCIA"/>
    <s v="COMPRA"/>
    <n v="100"/>
    <s v="D"/>
    <n v="0"/>
    <x v="0"/>
  </r>
  <r>
    <x v="27"/>
    <x v="2"/>
    <x v="0"/>
    <x v="6"/>
    <s v="DIA FRANQUIA LJ 9"/>
    <s v="COMPRA"/>
    <n v="44.31"/>
    <s v="D"/>
    <n v="0"/>
    <x v="0"/>
  </r>
  <r>
    <x v="27"/>
    <x v="2"/>
    <x v="0"/>
    <x v="8"/>
    <s v="SALDO DIA"/>
    <s v="SALDO DIA"/>
    <n v="0"/>
    <s v="D"/>
    <n v="0"/>
    <x v="0"/>
  </r>
  <r>
    <x v="28"/>
    <x v="2"/>
    <x v="0"/>
    <x v="2"/>
    <s v="APP"/>
    <s v="app"/>
    <n v="5"/>
    <s v="D"/>
    <n v="0"/>
    <x v="0"/>
  </r>
  <r>
    <x v="28"/>
    <x v="2"/>
    <x v="0"/>
    <x v="9"/>
    <s v="CRED PIX"/>
    <s v="CRED PIX"/>
    <n v="10"/>
    <s v="C"/>
    <n v="0"/>
    <x v="1"/>
  </r>
  <r>
    <x v="28"/>
    <x v="2"/>
    <x v="0"/>
    <x v="9"/>
    <s v="CRED PIX"/>
    <s v="CRED PIX"/>
    <n v="100"/>
    <s v="C"/>
    <n v="0"/>
    <x v="1"/>
  </r>
  <r>
    <x v="28"/>
    <x v="2"/>
    <x v="0"/>
    <x v="1"/>
    <s v="ENVIO PIX"/>
    <s v="ENVIO PIX"/>
    <n v="106"/>
    <s v="D"/>
    <n v="0"/>
    <x v="0"/>
  </r>
  <r>
    <x v="28"/>
    <x v="2"/>
    <x v="0"/>
    <x v="24"/>
    <s v="DEP DIN AG"/>
    <s v="DEP DIN AG"/>
    <n v="100"/>
    <s v="C"/>
    <n v="0"/>
    <x v="1"/>
  </r>
  <r>
    <x v="28"/>
    <x v="2"/>
    <x v="0"/>
    <x v="3"/>
    <s v="PParada"/>
    <s v="COMPRA"/>
    <n v="12"/>
    <s v="D"/>
    <n v="0"/>
    <x v="0"/>
  </r>
  <r>
    <x v="28"/>
    <x v="2"/>
    <x v="0"/>
    <x v="3"/>
    <s v="PParada"/>
    <s v="COMPRA"/>
    <n v="100"/>
    <s v="D"/>
    <n v="0"/>
    <x v="0"/>
  </r>
  <r>
    <x v="28"/>
    <x v="2"/>
    <x v="0"/>
    <x v="8"/>
    <s v="SALDO DIA"/>
    <s v="SALDO DIA"/>
    <n v="0"/>
    <s v="D"/>
    <n v="0"/>
    <x v="0"/>
  </r>
  <r>
    <x v="29"/>
    <x v="2"/>
    <x v="0"/>
    <x v="6"/>
    <s v="DIA FRANQUIA LJ 9"/>
    <s v="COMPRA"/>
    <n v="11"/>
    <s v="D"/>
    <n v="0"/>
    <x v="0"/>
  </r>
  <r>
    <x v="29"/>
    <x v="2"/>
    <x v="0"/>
    <x v="8"/>
    <s v="SALDO DIA"/>
    <s v="SALDO DIA"/>
    <n v="0"/>
    <s v="D"/>
    <n v="0"/>
    <x v="0"/>
  </r>
  <r>
    <x v="30"/>
    <x v="2"/>
    <x v="0"/>
    <x v="24"/>
    <s v="DEP DIN AG"/>
    <s v="DEP DIN AG"/>
    <n v="315"/>
    <s v="C"/>
    <n v="0"/>
    <x v="1"/>
  </r>
  <r>
    <x v="30"/>
    <x v="2"/>
    <x v="0"/>
    <x v="1"/>
    <s v="DEB WHATS"/>
    <s v="DEB WHATS"/>
    <n v="65"/>
    <s v="D"/>
    <n v="0"/>
    <x v="0"/>
  </r>
  <r>
    <x v="30"/>
    <x v="2"/>
    <x v="0"/>
    <x v="3"/>
    <s v="PParada"/>
    <s v="COMPRA"/>
    <n v="100"/>
    <s v="D"/>
    <n v="0"/>
    <x v="0"/>
  </r>
  <r>
    <x v="30"/>
    <x v="2"/>
    <x v="0"/>
    <x v="6"/>
    <s v="DIA FRANQUIA LJ 9"/>
    <s v="COMPRA"/>
    <n v="19.87"/>
    <s v="D"/>
    <n v="0"/>
    <x v="0"/>
  </r>
  <r>
    <x v="30"/>
    <x v="2"/>
    <x v="0"/>
    <x v="8"/>
    <s v="SALDO DIA"/>
    <s v="SALDO DIA"/>
    <n v="0"/>
    <s v="D"/>
    <n v="0"/>
    <x v="0"/>
  </r>
  <r>
    <x v="31"/>
    <x v="2"/>
    <x v="0"/>
    <x v="9"/>
    <s v="CRED PIX"/>
    <s v="CRED PIX"/>
    <n v="350"/>
    <s v="C"/>
    <n v="0"/>
    <x v="1"/>
  </r>
  <r>
    <x v="31"/>
    <x v="2"/>
    <x v="0"/>
    <x v="12"/>
    <s v="ATIBAIA POINT COM"/>
    <s v="COMPRA"/>
    <n v="23.05"/>
    <s v="D"/>
    <n v="0"/>
    <x v="0"/>
  </r>
  <r>
    <x v="31"/>
    <x v="2"/>
    <x v="0"/>
    <x v="6"/>
    <s v="DIA FRANQUIA LJ 9"/>
    <s v="COMPRA"/>
    <n v="43.29"/>
    <s v="D"/>
    <n v="0"/>
    <x v="0"/>
  </r>
  <r>
    <x v="31"/>
    <x v="2"/>
    <x v="0"/>
    <x v="8"/>
    <s v="SALDO DIA"/>
    <s v="SALDO DIA"/>
    <n v="0"/>
    <s v="D"/>
    <n v="0"/>
    <x v="0"/>
  </r>
  <r>
    <x v="32"/>
    <x v="2"/>
    <x v="0"/>
    <x v="1"/>
    <s v="ENVIO PIX"/>
    <s v="ENVIO PIX"/>
    <n v="35"/>
    <s v="D"/>
    <n v="0"/>
    <x v="0"/>
  </r>
  <r>
    <x v="32"/>
    <x v="2"/>
    <x v="0"/>
    <x v="1"/>
    <s v="ENVIO PIX"/>
    <s v="ENVIO PIX"/>
    <n v="8"/>
    <s v="D"/>
    <n v="0"/>
    <x v="0"/>
  </r>
  <r>
    <x v="32"/>
    <x v="2"/>
    <x v="0"/>
    <x v="6"/>
    <s v="COMERCIAL MOURA"/>
    <s v="COMPRA"/>
    <n v="186.69"/>
    <s v="D"/>
    <n v="0"/>
    <x v="0"/>
  </r>
  <r>
    <x v="32"/>
    <x v="2"/>
    <x v="0"/>
    <x v="6"/>
    <s v="COMERCIAL MOURA"/>
    <s v="COMPRA"/>
    <n v="7.76"/>
    <s v="D"/>
    <n v="0"/>
    <x v="0"/>
  </r>
  <r>
    <x v="32"/>
    <x v="2"/>
    <x v="0"/>
    <x v="6"/>
    <s v="DIA FRANQUIA LJ 9"/>
    <s v="COMPRA"/>
    <n v="22.66"/>
    <s v="D"/>
    <n v="0"/>
    <x v="0"/>
  </r>
  <r>
    <x v="32"/>
    <x v="2"/>
    <x v="0"/>
    <x v="1"/>
    <s v="ENVIO PIX"/>
    <s v="ENVIO PIX"/>
    <n v="127"/>
    <s v="D"/>
    <n v="0"/>
    <x v="0"/>
  </r>
  <r>
    <x v="32"/>
    <x v="2"/>
    <x v="0"/>
    <x v="1"/>
    <s v="DEB WHATS"/>
    <s v="DEB WHATS"/>
    <n v="4"/>
    <s v="D"/>
    <n v="0"/>
    <x v="0"/>
  </r>
  <r>
    <x v="32"/>
    <x v="2"/>
    <x v="0"/>
    <x v="6"/>
    <s v="DIA FRANQUIA LJ 9"/>
    <s v="COMPRA"/>
    <n v="9.98"/>
    <s v="D"/>
    <n v="0"/>
    <x v="0"/>
  </r>
  <r>
    <x v="32"/>
    <x v="2"/>
    <x v="0"/>
    <x v="8"/>
    <s v="SALDO DIA"/>
    <s v="SALDO DIA"/>
    <n v="0"/>
    <s v="D"/>
    <n v="0"/>
    <x v="0"/>
  </r>
  <r>
    <x v="33"/>
    <x v="2"/>
    <x v="0"/>
    <x v="3"/>
    <s v="AutoPostoRecanto"/>
    <s v="COMPRA"/>
    <n v="11"/>
    <s v="D"/>
    <n v="0"/>
    <x v="0"/>
  </r>
  <r>
    <x v="33"/>
    <x v="2"/>
    <x v="0"/>
    <x v="24"/>
    <s v="DEP DIN AG"/>
    <s v="DEP DIN AG"/>
    <n v="50"/>
    <s v="C"/>
    <n v="0"/>
    <x v="1"/>
  </r>
  <r>
    <x v="33"/>
    <x v="2"/>
    <x v="0"/>
    <x v="3"/>
    <s v="PParada"/>
    <s v="COMPRA"/>
    <n v="50"/>
    <s v="D"/>
    <n v="0"/>
    <x v="0"/>
  </r>
  <r>
    <x v="33"/>
    <x v="2"/>
    <x v="0"/>
    <x v="8"/>
    <s v="SALDO DIA"/>
    <s v="SALDO DIA"/>
    <n v="0"/>
    <s v="D"/>
    <n v="0"/>
    <x v="0"/>
  </r>
  <r>
    <x v="34"/>
    <x v="2"/>
    <x v="0"/>
    <x v="10"/>
    <s v="SALARIO"/>
    <s v="SALARIO"/>
    <n v="8017.39"/>
    <s v="C"/>
    <n v="0"/>
    <x v="1"/>
  </r>
  <r>
    <x v="34"/>
    <x v="2"/>
    <x v="0"/>
    <x v="19"/>
    <s v="PREST CDC"/>
    <s v="PREST CDC"/>
    <n v="561.75"/>
    <s v="D"/>
    <n v="0"/>
    <x v="0"/>
  </r>
  <r>
    <x v="34"/>
    <x v="2"/>
    <x v="0"/>
    <x v="0"/>
    <s v="DB AP POUP"/>
    <s v="DB AP POUP"/>
    <n v="6350"/>
    <s v="D"/>
    <n v="0"/>
    <x v="0"/>
  </r>
  <r>
    <x v="34"/>
    <x v="2"/>
    <x v="0"/>
    <x v="6"/>
    <s v="ATACADAO 633 AS"/>
    <s v="COMPRA"/>
    <n v="658.99"/>
    <s v="D"/>
    <n v="0"/>
    <x v="0"/>
  </r>
  <r>
    <x v="34"/>
    <x v="2"/>
    <x v="0"/>
    <x v="12"/>
    <s v="SAO JOAO CONVENIENCIA"/>
    <s v="COMPRA"/>
    <n v="100"/>
    <s v="D"/>
    <n v="0"/>
    <x v="0"/>
  </r>
  <r>
    <x v="34"/>
    <x v="2"/>
    <x v="0"/>
    <x v="1"/>
    <s v="ENVIO PIX"/>
    <s v="ENVIO PIX"/>
    <n v="87.29"/>
    <s v="D"/>
    <n v="0"/>
    <x v="0"/>
  </r>
  <r>
    <x v="34"/>
    <x v="2"/>
    <x v="0"/>
    <x v="22"/>
    <s v="SEGURADORA"/>
    <s v="SEGURADORA"/>
    <n v="76.41"/>
    <s v="D"/>
    <n v="0"/>
    <x v="0"/>
  </r>
  <r>
    <x v="34"/>
    <x v="2"/>
    <x v="0"/>
    <x v="1"/>
    <s v="ENVIO PIX"/>
    <s v="ENVIO PIX"/>
    <n v="38.97"/>
    <s v="D"/>
    <n v="0"/>
    <x v="0"/>
  </r>
  <r>
    <x v="34"/>
    <x v="2"/>
    <x v="0"/>
    <x v="1"/>
    <s v="ENVIO PIX"/>
    <s v="ENVIO PIX"/>
    <n v="38.89"/>
    <s v="D"/>
    <n v="0"/>
    <x v="0"/>
  </r>
  <r>
    <x v="34"/>
    <x v="2"/>
    <x v="0"/>
    <x v="10"/>
    <s v="CR RG POUP"/>
    <s v="CR RG POUP"/>
    <n v="5000"/>
    <s v="C"/>
    <n v="0"/>
    <x v="1"/>
  </r>
  <r>
    <x v="34"/>
    <x v="2"/>
    <x v="0"/>
    <x v="18"/>
    <s v="PAG BOLETO"/>
    <s v="PAG BOLETO"/>
    <n v="2494.25"/>
    <s v="D"/>
    <n v="0"/>
    <x v="0"/>
  </r>
  <r>
    <x v="34"/>
    <x v="2"/>
    <x v="0"/>
    <x v="18"/>
    <s v="PAG BOLETO"/>
    <s v="PAG BOLETO"/>
    <n v="1021.98"/>
    <s v="D"/>
    <n v="0"/>
    <x v="0"/>
  </r>
  <r>
    <x v="34"/>
    <x v="2"/>
    <x v="0"/>
    <x v="25"/>
    <s v="PAG AGUA"/>
    <s v="PAG AGUA"/>
    <n v="116.78"/>
    <s v="D"/>
    <n v="0"/>
    <x v="0"/>
  </r>
  <r>
    <x v="34"/>
    <x v="2"/>
    <x v="0"/>
    <x v="26"/>
    <s v="PG LUZ/GAS"/>
    <s v="PG LUZ/GAS"/>
    <n v="285.7"/>
    <s v="D"/>
    <n v="0"/>
    <x v="0"/>
  </r>
  <r>
    <x v="34"/>
    <x v="2"/>
    <x v="0"/>
    <x v="1"/>
    <s v="ENVIO PIX"/>
    <s v="ENVIO PIX"/>
    <n v="129.9"/>
    <s v="D"/>
    <n v="0"/>
    <x v="0"/>
  </r>
  <r>
    <x v="34"/>
    <x v="2"/>
    <x v="0"/>
    <x v="1"/>
    <s v="ENVIO PIX"/>
    <s v="ENVIO PIX"/>
    <n v="700"/>
    <s v="D"/>
    <n v="0"/>
    <x v="0"/>
  </r>
  <r>
    <x v="34"/>
    <x v="2"/>
    <x v="0"/>
    <x v="10"/>
    <s v="CR RG POUP"/>
    <s v="CR RG POUP"/>
    <n v="750"/>
    <s v="C"/>
    <n v="0"/>
    <x v="1"/>
  </r>
  <r>
    <x v="34"/>
    <x v="2"/>
    <x v="0"/>
    <x v="5"/>
    <s v="CRB FPAY"/>
    <s v="COMPRA"/>
    <n v="10.1"/>
    <s v="D"/>
    <n v="0"/>
    <x v="0"/>
  </r>
  <r>
    <x v="34"/>
    <x v="2"/>
    <x v="0"/>
    <x v="17"/>
    <s v="SAQ RECIBO"/>
    <s v="SAQ RECIBO"/>
    <n v="500"/>
    <s v="D"/>
    <n v="0"/>
    <x v="0"/>
  </r>
  <r>
    <x v="34"/>
    <x v="2"/>
    <x v="0"/>
    <x v="3"/>
    <s v="PParada"/>
    <s v="COMPRA"/>
    <n v="100"/>
    <s v="D"/>
    <n v="0"/>
    <x v="0"/>
  </r>
  <r>
    <x v="34"/>
    <x v="2"/>
    <x v="0"/>
    <x v="6"/>
    <s v="DIA FRANQUIA LJ 9"/>
    <s v="COMPRA"/>
    <n v="38.94"/>
    <s v="D"/>
    <n v="0"/>
    <x v="0"/>
  </r>
  <r>
    <x v="34"/>
    <x v="2"/>
    <x v="0"/>
    <x v="8"/>
    <s v="SALDO DIA"/>
    <s v="SALDO DIA"/>
    <n v="0"/>
    <s v="D"/>
    <n v="0"/>
    <x v="0"/>
  </r>
  <r>
    <x v="35"/>
    <x v="2"/>
    <x v="0"/>
    <x v="1"/>
    <s v="DEB WHATS"/>
    <s v="DEB WHATS"/>
    <n v="28"/>
    <s v="D"/>
    <n v="0"/>
    <x v="0"/>
  </r>
  <r>
    <x v="35"/>
    <x v="2"/>
    <x v="0"/>
    <x v="8"/>
    <s v="SALDO DIA"/>
    <s v="SALDO DIA"/>
    <n v="0"/>
    <s v="D"/>
    <n v="0"/>
    <x v="0"/>
  </r>
  <r>
    <x v="36"/>
    <x v="2"/>
    <x v="0"/>
    <x v="16"/>
    <s v="NETFLIX.COM"/>
    <s v="COMPRA"/>
    <n v="44.9"/>
    <s v="D"/>
    <n v="0"/>
    <x v="0"/>
  </r>
  <r>
    <x v="36"/>
    <x v="2"/>
    <x v="0"/>
    <x v="12"/>
    <s v="PIZZARIA CHOPERIA AVE"/>
    <s v="COMPRA"/>
    <n v="110"/>
    <s v="D"/>
    <n v="0"/>
    <x v="0"/>
  </r>
  <r>
    <x v="36"/>
    <x v="2"/>
    <x v="0"/>
    <x v="9"/>
    <s v="CRED PIX"/>
    <s v="CRED PIX"/>
    <n v="55"/>
    <s v="C"/>
    <n v="0"/>
    <x v="1"/>
  </r>
  <r>
    <x v="36"/>
    <x v="2"/>
    <x v="0"/>
    <x v="6"/>
    <s v="DIA FRANQUIA LJ 9"/>
    <s v="COMPRA"/>
    <n v="48.91"/>
    <s v="D"/>
    <n v="0"/>
    <x v="0"/>
  </r>
  <r>
    <x v="36"/>
    <x v="2"/>
    <x v="0"/>
    <x v="3"/>
    <s v="PParada"/>
    <s v="COMPRA"/>
    <n v="100"/>
    <s v="D"/>
    <n v="0"/>
    <x v="0"/>
  </r>
  <r>
    <x v="36"/>
    <x v="2"/>
    <x v="0"/>
    <x v="6"/>
    <s v="DIA FRANQUIA LJ 9"/>
    <s v="COMPRA"/>
    <n v="22.02"/>
    <s v="D"/>
    <n v="0"/>
    <x v="0"/>
  </r>
  <r>
    <x v="36"/>
    <x v="2"/>
    <x v="0"/>
    <x v="8"/>
    <s v="SALDO DIA"/>
    <s v="SALDO DIA"/>
    <n v="0"/>
    <s v="D"/>
    <n v="0"/>
    <x v="0"/>
  </r>
  <r>
    <x v="37"/>
    <x v="2"/>
    <x v="0"/>
    <x v="1"/>
    <s v="ENVIO PIX"/>
    <s v="ENVIO PIX"/>
    <n v="10"/>
    <s v="D"/>
    <n v="0"/>
    <x v="0"/>
  </r>
  <r>
    <x v="37"/>
    <x v="2"/>
    <x v="0"/>
    <x v="1"/>
    <s v="DEB WHATS"/>
    <s v="DEB WHATS"/>
    <n v="30"/>
    <s v="D"/>
    <n v="0"/>
    <x v="0"/>
  </r>
  <r>
    <x v="37"/>
    <x v="2"/>
    <x v="0"/>
    <x v="6"/>
    <s v="DIA FRANQUIA LJ 9"/>
    <s v="COMPRA"/>
    <n v="34.72"/>
    <s v="D"/>
    <n v="0"/>
    <x v="0"/>
  </r>
  <r>
    <x v="37"/>
    <x v="2"/>
    <x v="0"/>
    <x v="8"/>
    <s v="SALDO DIA"/>
    <s v="SALDO DIA"/>
    <n v="0"/>
    <s v="D"/>
    <n v="0"/>
    <x v="0"/>
  </r>
  <r>
    <x v="38"/>
    <x v="2"/>
    <x v="0"/>
    <x v="4"/>
    <s v="FBPAY *WA TRXIDXX4594"/>
    <s v="COMPRA"/>
    <n v="10.1"/>
    <s v="D"/>
    <n v="0"/>
    <x v="0"/>
  </r>
  <r>
    <x v="38"/>
    <x v="2"/>
    <x v="0"/>
    <x v="10"/>
    <s v="CR RG POUP"/>
    <s v="CR RG POUP"/>
    <n v="120"/>
    <s v="C"/>
    <n v="0"/>
    <x v="1"/>
  </r>
  <r>
    <x v="38"/>
    <x v="2"/>
    <x v="0"/>
    <x v="12"/>
    <s v="SAO JOAO CONVENIENCIA"/>
    <s v="COMPRA"/>
    <n v="100"/>
    <s v="D"/>
    <n v="0"/>
    <x v="0"/>
  </r>
  <r>
    <x v="38"/>
    <x v="2"/>
    <x v="0"/>
    <x v="8"/>
    <s v="SALDO DIA"/>
    <s v="SALDO DIA"/>
    <n v="0"/>
    <s v="D"/>
    <n v="0"/>
    <x v="0"/>
  </r>
  <r>
    <x v="39"/>
    <x v="2"/>
    <x v="0"/>
    <x v="22"/>
    <s v="SEG RESID"/>
    <s v="SEG RESID"/>
    <n v="72.17"/>
    <s v="D"/>
    <n v="0"/>
    <x v="0"/>
  </r>
  <r>
    <x v="39"/>
    <x v="2"/>
    <x v="0"/>
    <x v="10"/>
    <s v="CR RG POUP"/>
    <s v="CR RG POUP"/>
    <n v="80"/>
    <s v="C"/>
    <n v="0"/>
    <x v="1"/>
  </r>
  <r>
    <x v="39"/>
    <x v="2"/>
    <x v="0"/>
    <x v="6"/>
    <s v="DIA FRANQUIA LJ 9"/>
    <s v="COMPRA"/>
    <n v="22.46"/>
    <s v="D"/>
    <n v="0"/>
    <x v="0"/>
  </r>
  <r>
    <x v="39"/>
    <x v="2"/>
    <x v="0"/>
    <x v="14"/>
    <s v="DROGARIA ALIANCA"/>
    <s v="COMPRA"/>
    <n v="23.99"/>
    <s v="D"/>
    <n v="0"/>
    <x v="0"/>
  </r>
  <r>
    <x v="39"/>
    <x v="2"/>
    <x v="0"/>
    <x v="8"/>
    <s v="SALDO DIA"/>
    <s v="SALDO DIA"/>
    <n v="0"/>
    <s v="D"/>
    <n v="0"/>
    <x v="0"/>
  </r>
  <r>
    <x v="40"/>
    <x v="2"/>
    <x v="0"/>
    <x v="23"/>
    <s v="DEB IRPF"/>
    <s v="DEB IRPF"/>
    <n v="55.84"/>
    <s v="D"/>
    <n v="0"/>
    <x v="0"/>
  </r>
  <r>
    <x v="40"/>
    <x v="2"/>
    <x v="0"/>
    <x v="10"/>
    <s v="CR RG POUP"/>
    <s v="CR RG POUP"/>
    <n v="200"/>
    <s v="C"/>
    <n v="0"/>
    <x v="1"/>
  </r>
  <r>
    <x v="40"/>
    <x v="2"/>
    <x v="0"/>
    <x v="3"/>
    <s v="PParada"/>
    <s v="COMPRA"/>
    <n v="100"/>
    <s v="D"/>
    <n v="0"/>
    <x v="0"/>
  </r>
  <r>
    <x v="40"/>
    <x v="2"/>
    <x v="0"/>
    <x v="19"/>
    <s v="CR CONSIG"/>
    <s v="CR CONSIG"/>
    <n v="1046.97"/>
    <s v="C"/>
    <n v="0"/>
    <x v="1"/>
  </r>
  <r>
    <x v="40"/>
    <x v="2"/>
    <x v="0"/>
    <x v="19"/>
    <s v="CR CONSIG"/>
    <s v="CR CONSIG"/>
    <n v="825.15"/>
    <s v="C"/>
    <n v="0"/>
    <x v="1"/>
  </r>
  <r>
    <x v="40"/>
    <x v="2"/>
    <x v="0"/>
    <x v="4"/>
    <s v="AUTOPISTA FERNAO"/>
    <s v="COMPRA"/>
    <n v="2.9"/>
    <s v="D"/>
    <n v="0"/>
    <x v="0"/>
  </r>
  <r>
    <x v="40"/>
    <x v="2"/>
    <x v="0"/>
    <x v="8"/>
    <s v="SALDO DIA"/>
    <s v="SALDO DIA"/>
    <n v="0"/>
    <s v="C"/>
    <n v="0"/>
    <x v="1"/>
  </r>
  <r>
    <x v="0"/>
    <x v="0"/>
    <x v="0"/>
    <x v="0"/>
    <s v="DB AP POUP"/>
    <s v="DB AP POUP"/>
    <n v="900"/>
    <s v="D"/>
    <n v="0"/>
    <x v="0"/>
  </r>
  <r>
    <x v="0"/>
    <x v="0"/>
    <x v="0"/>
    <x v="1"/>
    <s v="DEB WHATS"/>
    <s v="DEB WHATS"/>
    <n v="30"/>
    <s v="D"/>
    <n v="0"/>
    <x v="0"/>
  </r>
  <r>
    <x v="0"/>
    <x v="0"/>
    <x v="0"/>
    <x v="2"/>
    <s v="APP"/>
    <s v="app"/>
    <n v="5"/>
    <s v="D"/>
    <n v="0"/>
    <x v="0"/>
  </r>
  <r>
    <x v="0"/>
    <x v="0"/>
    <x v="0"/>
    <x v="3"/>
    <s v="AutoPostoVitrine"/>
    <s v="COMPRA"/>
    <n v="100"/>
    <s v="D"/>
    <n v="0"/>
    <x v="0"/>
  </r>
  <r>
    <x v="0"/>
    <x v="0"/>
    <x v="0"/>
    <x v="4"/>
    <s v="AUTOPISTA FERNAO"/>
    <s v="COMPRA"/>
    <n v="2.9"/>
    <s v="D"/>
    <n v="0"/>
    <x v="0"/>
  </r>
  <r>
    <x v="0"/>
    <x v="0"/>
    <x v="0"/>
    <x v="5"/>
    <s v="CRB FPAY"/>
    <s v="COMPRA"/>
    <n v="10.1"/>
    <s v="D"/>
    <n v="0"/>
    <x v="0"/>
  </r>
  <r>
    <x v="0"/>
    <x v="0"/>
    <x v="0"/>
    <x v="6"/>
    <s v="SUPERMERCADO CATR"/>
    <s v="COMPRA"/>
    <n v="49.16"/>
    <s v="D"/>
    <n v="0"/>
    <x v="0"/>
  </r>
  <r>
    <x v="0"/>
    <x v="0"/>
    <x v="0"/>
    <x v="7"/>
    <s v="DEB IOF"/>
    <s v="DEB IOF"/>
    <n v="6.23"/>
    <s v="D"/>
    <n v="0"/>
    <x v="0"/>
  </r>
  <r>
    <x v="0"/>
    <x v="0"/>
    <x v="0"/>
    <x v="7"/>
    <s v="DEB JUROS"/>
    <s v="DEB JUROS"/>
    <n v="57.1"/>
    <s v="D"/>
    <n v="0"/>
    <x v="0"/>
  </r>
  <r>
    <x v="0"/>
    <x v="0"/>
    <x v="0"/>
    <x v="8"/>
    <s v="SALDO DIA"/>
    <s v="SALDO DIA"/>
    <n v="0"/>
    <s v="D"/>
    <n v="0"/>
    <x v="0"/>
  </r>
  <r>
    <x v="41"/>
    <x v="2"/>
    <x v="0"/>
    <x v="27"/>
    <s v="FUNCEF PREV"/>
    <s v="FUNCEF PREV"/>
    <n v="565.6"/>
    <s v="P"/>
    <n v="7000"/>
    <x v="2"/>
  </r>
  <r>
    <x v="41"/>
    <x v="2"/>
    <x v="0"/>
    <x v="27"/>
    <s v="FUNCEF PREV"/>
    <s v="FUNCEF PREV"/>
    <n v="298.45"/>
    <s v="P"/>
    <n v="7000"/>
    <x v="2"/>
  </r>
  <r>
    <x v="14"/>
    <x v="0"/>
    <x v="0"/>
    <x v="27"/>
    <s v="FUNCEF PREV"/>
    <s v="FUNCEF PREV"/>
    <n v="565.6"/>
    <s v="P"/>
    <n v="7000"/>
    <x v="2"/>
  </r>
  <r>
    <x v="42"/>
    <x v="1"/>
    <x v="1"/>
    <x v="27"/>
    <s v="FUNCEF PREV"/>
    <s v="FUNCEF PREV"/>
    <n v="1000"/>
    <s v="P"/>
    <n v="7000"/>
    <x v="2"/>
  </r>
  <r>
    <x v="43"/>
    <x v="3"/>
    <x v="2"/>
    <x v="28"/>
    <m/>
    <m/>
    <m/>
    <m/>
    <n v="0"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  <r>
    <x v="43"/>
    <x v="3"/>
    <x v="2"/>
    <x v="28"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2" cacheId="1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2:N61" firstHeaderRow="1" firstDataRow="1" firstDataCol="1"/>
  <pivotFields count="1">
    <pivotField axis="axisRow" showAll="0">
      <items count="62">
        <item m="1" x="58"/>
        <item x="2"/>
        <item x="4"/>
        <item x="40"/>
        <item x="3"/>
        <item x="27"/>
        <item x="34"/>
        <item m="1" x="59"/>
        <item x="30"/>
        <item m="1" x="60"/>
        <item x="5"/>
        <item x="14"/>
        <item x="12"/>
        <item x="0"/>
        <item x="18"/>
        <item x="7"/>
        <item x="41"/>
        <item x="8"/>
        <item x="1"/>
        <item x="44"/>
        <item x="15"/>
        <item x="17"/>
        <item x="29"/>
        <item x="11"/>
        <item x="20"/>
        <item x="35"/>
        <item x="21"/>
        <item x="25"/>
        <item x="24"/>
        <item x="16"/>
        <item x="22"/>
        <item x="23"/>
        <item x="26"/>
        <item x="39"/>
        <item x="37"/>
        <item x="32"/>
        <item x="19"/>
        <item x="42"/>
        <item x="13"/>
        <item x="10"/>
        <item x="33"/>
        <item x="9"/>
        <item x="31"/>
        <item x="38"/>
        <item x="28"/>
        <item x="43"/>
        <item x="36"/>
        <item x="6"/>
        <item x="57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t="default"/>
      </items>
    </pivotField>
  </pivotFields>
  <rowFields count="1">
    <field x="0"/>
  </rowFields>
  <rowItems count="59">
    <i>
      <x v="1"/>
    </i>
    <i>
      <x v="2"/>
    </i>
    <i>
      <x v="3"/>
    </i>
    <i>
      <x v="4"/>
    </i>
    <i>
      <x v="5"/>
    </i>
    <i>
      <x v="6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E46356-0B85-4F6B-AD16-CB666957E242}" name="Tbl_entrada" cacheId="1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20">
  <location ref="G4:H11" firstHeaderRow="1" firstDataRow="1" firstDataCol="1" rowPageCount="1" colPageCount="1"/>
  <pivotFields count="14">
    <pivotField compact="0" numFmtId="14" showAll="0">
      <items count="45"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43"/>
        <item x="41"/>
        <item x="42"/>
        <item t="default"/>
      </items>
    </pivotField>
    <pivotField compact="0" outline="0" showAll="0">
      <items count="6">
        <item x="1"/>
        <item x="2"/>
        <item x="0"/>
        <item m="1" x="4"/>
        <item x="3"/>
        <item t="default"/>
      </items>
    </pivotField>
    <pivotField compact="0" outline="0" showAll="0">
      <items count="4">
        <item x="0"/>
        <item x="1"/>
        <item h="1" x="2"/>
        <item t="default"/>
      </items>
    </pivotField>
    <pivotField axis="axisRow" compact="0" outline="0" multipleItemSelectionAllowed="1" showAll="0" defaultSubtotal="0">
      <items count="31">
        <item x="28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5"/>
        <item x="18"/>
        <item x="19"/>
        <item x="20"/>
        <item m="1" x="30"/>
        <item x="22"/>
        <item x="23"/>
        <item x="24"/>
        <item x="25"/>
        <item x="26"/>
        <item x="21"/>
        <item m="1" x="29"/>
        <item x="27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Page" compact="0" outline="0" showAll="0">
      <items count="5">
        <item x="1"/>
        <item x="2"/>
        <item x="0"/>
        <item x="3"/>
        <item t="default"/>
      </items>
    </pivotField>
    <pivotField compact="0" outline="0" showAll="0">
      <items count="1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x="11"/>
        <item h="1" x="12"/>
        <item h="1" x="13"/>
        <item t="default"/>
      </items>
    </pivotField>
    <pivotField compact="0" outline="0" showAll="0"/>
    <pivotField compact="0" outline="0" showAll="0">
      <items count="5">
        <item x="0"/>
        <item x="1"/>
        <item x="2"/>
        <item x="3"/>
        <item t="default"/>
      </items>
    </pivotField>
    <pivotField compact="0" outline="0" dragToRow="0" dragToCol="0" dragToPage="0" showAll="0" defaultSubtotal="0"/>
  </pivotFields>
  <rowFields count="1">
    <field x="3"/>
  </rowFields>
  <rowItems count="7">
    <i>
      <x v="8"/>
    </i>
    <i>
      <x v="9"/>
    </i>
    <i>
      <x v="10"/>
    </i>
    <i>
      <x v="11"/>
    </i>
    <i>
      <x v="20"/>
    </i>
    <i>
      <x v="25"/>
    </i>
    <i t="grand">
      <x/>
    </i>
  </rowItems>
  <colItems count="1">
    <i/>
  </colItems>
  <pageFields count="1">
    <pageField fld="9" item="0" hier="-1"/>
  </pageFields>
  <dataFields count="1">
    <dataField name="Soma de Valor" fld="6" baseField="2" baseItem="0" numFmtId="164"/>
  </dataFields>
  <chartFormats count="4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B84DD6-5F45-4A33-8718-A1EB57436B97}" name="tbl_saida" cacheId="166" applyNumberFormats="0" applyBorderFormats="0" applyFontFormats="0" applyPatternFormats="0" applyAlignmentFormats="0" applyWidthHeightFormats="1" dataCaption="Valores" updatedVersion="8" minRefreshableVersion="3" useAutoFormatting="1" itemPrintTitles="1" mergeItem="1" createdVersion="8" indent="0" compact="0" compactData="0" multipleFieldFilters="0" chartFormat="11">
  <location ref="C4:D28" firstHeaderRow="1" firstDataRow="1" firstDataCol="1" rowPageCount="1" colPageCount="1"/>
  <pivotFields count="14">
    <pivotField compact="0" numFmtId="14" showAll="0">
      <items count="45"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43"/>
        <item x="41"/>
        <item x="42"/>
        <item t="default"/>
      </items>
    </pivotField>
    <pivotField compact="0" outline="0" showAll="0">
      <items count="6">
        <item x="1"/>
        <item x="2"/>
        <item x="0"/>
        <item m="1" x="4"/>
        <item x="3"/>
        <item t="default"/>
      </items>
    </pivotField>
    <pivotField compact="0" outline="0" showAll="0">
      <items count="4">
        <item x="0"/>
        <item x="1"/>
        <item h="1" x="2"/>
        <item t="default"/>
      </items>
    </pivotField>
    <pivotField axis="axisRow" compact="0" outline="0" multipleItemSelectionAllowed="1" showAll="0" defaultSubtotal="0">
      <items count="31">
        <item x="28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5"/>
        <item x="18"/>
        <item x="19"/>
        <item x="20"/>
        <item m="1" x="30"/>
        <item x="22"/>
        <item x="23"/>
        <item x="24"/>
        <item x="25"/>
        <item x="26"/>
        <item x="21"/>
        <item m="1" x="29"/>
        <item x="27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Page" compact="0" outline="0" showAll="0">
      <items count="5">
        <item x="1"/>
        <item x="2"/>
        <item x="0"/>
        <item x="3"/>
        <item t="default"/>
      </items>
    </pivotField>
    <pivotField compact="0" outline="0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h="1" sd="0" x="12"/>
        <item h="1"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compact="0" outline="0" showAll="0">
      <items count="5">
        <item sd="0" x="0"/>
        <item sd="0" x="1"/>
        <item sd="0" x="2"/>
        <item x="3"/>
        <item t="default"/>
      </items>
    </pivotField>
    <pivotField compact="0" outline="0" dragToRow="0" dragToCol="0" dragToPage="0" showAll="0" defaultSubtotal="0"/>
  </pivotFields>
  <rowFields count="1">
    <field x="3"/>
  </rowFields>
  <rowItems count="2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6"/>
    </i>
    <i>
      <x v="27"/>
    </i>
    <i>
      <x v="28"/>
    </i>
    <i t="grand">
      <x/>
    </i>
  </rowItems>
  <colItems count="1">
    <i/>
  </colItems>
  <pageFields count="1">
    <pageField fld="9" item="2" hier="-1"/>
  </pageFields>
  <dataFields count="1">
    <dataField name="Soma de Valor" fld="6" baseField="1" baseItem="1" numFmtId="164"/>
  </dataFields>
  <formats count="1"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5164AF-4678-4E1B-8B88-E76036EC5E73}" name="TBL_ECONOMIA" cacheId="1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25">
  <location ref="G20:I22" firstHeaderRow="0" firstDataRow="1" firstDataCol="1" rowPageCount="1" colPageCount="1"/>
  <pivotFields count="14">
    <pivotField compact="0" numFmtId="14" showAll="0">
      <items count="45"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43"/>
        <item x="41"/>
        <item x="42"/>
        <item t="default"/>
      </items>
    </pivotField>
    <pivotField compact="0" outline="0" showAll="0">
      <items count="6">
        <item x="1"/>
        <item x="2"/>
        <item x="0"/>
        <item m="1" x="4"/>
        <item x="3"/>
        <item t="default"/>
      </items>
    </pivotField>
    <pivotField compact="0" outline="0" showAll="0">
      <items count="4">
        <item x="0"/>
        <item x="1"/>
        <item h="1" x="2"/>
        <item t="default"/>
      </items>
    </pivotField>
    <pivotField axis="axisRow" compact="0" outline="0" multipleItemSelectionAllowed="1" showAll="0" defaultSubtotal="0">
      <items count="31">
        <item x="28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5"/>
        <item x="18"/>
        <item x="19"/>
        <item x="20"/>
        <item m="1" x="30"/>
        <item x="22"/>
        <item x="23"/>
        <item x="24"/>
        <item x="25"/>
        <item x="26"/>
        <item x="21"/>
        <item m="1" x="29"/>
        <item x="27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axis="axisPage" compact="0" outline="0" showAll="0">
      <items count="5">
        <item x="1"/>
        <item x="2"/>
        <item x="0"/>
        <item x="3"/>
        <item t="default"/>
      </items>
    </pivotField>
    <pivotField compact="0" outline="0" showAll="0">
      <items count="1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x="11"/>
        <item h="1" x="12"/>
        <item h="1" x="13"/>
        <item t="default"/>
      </items>
    </pivotField>
    <pivotField compact="0" outline="0" showAll="0"/>
    <pivotField compact="0" outline="0" showAll="0">
      <items count="5">
        <item x="0"/>
        <item x="1"/>
        <item x="2"/>
        <item x="3"/>
        <item t="default"/>
      </items>
    </pivotField>
    <pivotField compact="0" outline="0" dragToRow="0" dragToCol="0" dragToPage="0" showAll="0" defaultSubtotal="0"/>
  </pivotFields>
  <rowFields count="1">
    <field x="3"/>
  </rowFields>
  <rowItems count="2"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9" item="1" hier="-1"/>
  </pageFields>
  <dataFields count="2">
    <dataField name="TOTAL RESERVADO:" fld="6" baseField="3" baseItem="30" numFmtId="164"/>
    <dataField name="META:" fld="8" subtotal="max" baseField="3" baseItem="30" numFmtId="164"/>
  </dataFields>
  <chartFormats count="7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60BFC7-F050-450B-A87F-4DBF69EA9645}" name="Tabela dinâmica2" cacheId="1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4">
  <location ref="K4:N7" firstHeaderRow="1" firstDataRow="1" firstDataCol="3"/>
  <pivotFields count="14">
    <pivotField axis="axisRow" compact="0" numFmtId="14" showAll="0">
      <items count="45"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43"/>
        <item x="41"/>
        <item x="42"/>
        <item t="default"/>
      </items>
    </pivotField>
    <pivotField compact="0" outline="0" showAll="0"/>
    <pivotField compact="0" outline="0" showAll="0"/>
    <pivotField compact="0" outline="0" multipleItemSelectionAllowed="1" showAll="0" defaultSubtota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h="1" sd="0" x="12"/>
        <item h="1" sd="0" x="13"/>
        <item t="default"/>
      </items>
    </pivotField>
    <pivotField compact="0" outline="0"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compact="0" outline="0" showAll="0">
      <items count="5">
        <item sd="0" x="0"/>
        <item x="1"/>
        <item x="2"/>
        <item x="3"/>
        <item t="default"/>
      </items>
    </pivotField>
    <pivotField compact="0" outline="0" dragToRow="0" dragToCol="0" dragToPage="0" showAll="0" defaultSubtotal="0"/>
  </pivotFields>
  <rowFields count="3">
    <field x="12"/>
    <field x="10"/>
    <field x="0"/>
  </rowFields>
  <rowItems count="3">
    <i>
      <x v="1"/>
      <x v="11"/>
    </i>
    <i t="default">
      <x v="1"/>
    </i>
    <i t="grand">
      <x/>
    </i>
  </rowItems>
  <colItems count="1">
    <i/>
  </colItems>
  <dataFields count="1">
    <dataField name="Soma de Valor" fld="6" baseField="2" baseItem="0" numFmtId="164"/>
  </dataFields>
  <chartFormats count="4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00000000-0016-0000-0000-000000000000}" autoFormatId="16" applyNumberFormats="0" applyBorderFormats="0" applyFontFormats="0" applyPatternFormats="0" applyAlignmentFormats="0" applyWidthHeightFormats="0">
  <queryTableRefresh nextId="11" unboundColumnsRight="2">
    <queryTableFields count="10">
      <queryTableField id="1" name="Conta" tableColumnId="1"/>
      <queryTableField id="2" name="Data_Mov" tableColumnId="2"/>
      <queryTableField id="10" dataBound="0" tableColumnId="10"/>
      <queryTableField id="9" dataBound="0" tableColumnId="9"/>
      <queryTableField id="3" name="Nr_Doc" tableColumnId="3"/>
      <queryTableField id="4" name="Historico" tableColumnId="4"/>
      <queryTableField id="5" name="Valor" tableColumnId="5"/>
      <queryTableField id="6" name="Deb_Cred" tableColumnId="6"/>
      <queryTableField id="7" dataBound="0" tableColumnId="7"/>
      <queryTableField id="8" dataBound="0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CD66BB66-9F69-48D9-B013-9CFEA82AE9E9}" sourceName="Mês">
  <pivotTables>
    <pivotTable tabId="3" name="tbl_saida"/>
    <pivotTable tabId="3" name="Tbl_entrada"/>
    <pivotTable tabId="3" name="TBL_ECONOMIA"/>
  </pivotTables>
  <data>
    <tabular pivotCacheId="395248680">
      <items count="5">
        <i x="1" s="1"/>
        <i x="2" s="1"/>
        <i x="0" s="1"/>
        <i x="4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048A1404-842E-4831-BF06-CB1746B2A85D}" sourceName="Ano">
  <pivotTables>
    <pivotTable tabId="3" name="tbl_saida"/>
    <pivotTable tabId="3" name="Tbl_entrada"/>
    <pivotTable tabId="3" name="TBL_ECONOMIA"/>
  </pivotTables>
  <data>
    <tabular pivotCacheId="395248680">
      <items count="3">
        <i x="0" s="1"/>
        <i x="1" s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21ED4559-28DA-449E-AF75-60AEBB7341EF}" cache="SegmentaçãodeDados_Mês" caption="Mês" style="Style_segment_HSF" rowHeight="234950"/>
  <slicer name="Ano" xr10:uid="{788FB991-DC22-41CE-A3E8-93ADEB75656E}" cache="SegmentaçãodeDados_Ano" caption="Ano" style="Style_segment_HSF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Acrescentar1" displayName="Acrescentar1" ref="A1:J229" tableType="queryTable" totalsRowShown="0">
  <autoFilter ref="A1:J229" xr:uid="{00000000-0009-0000-0100-000004000000}"/>
  <tableColumns count="10">
    <tableColumn id="1" xr3:uid="{00000000-0010-0000-0000-000001000000}" uniqueName="1" name="Conta" queryTableFieldId="1" dataDxfId="17"/>
    <tableColumn id="2" xr3:uid="{00000000-0010-0000-0000-000002000000}" uniqueName="2" name="Data_Mov" queryTableFieldId="2" dataDxfId="16"/>
    <tableColumn id="10" xr3:uid="{6141EC38-D3A3-4669-ACA6-7C1BB786DEEA}" uniqueName="10" name="Mês" queryTableFieldId="10" dataDxfId="15">
      <calculatedColumnFormula>VLOOKUP(MONTH(Acrescentar1[[#This Row],[Data_Mov]]),$X$1:$Y$13,2,0)</calculatedColumnFormula>
    </tableColumn>
    <tableColumn id="9" xr3:uid="{2B460956-F85C-491B-9B68-EF04AC981A93}" uniqueName="9" name="Ano" queryTableFieldId="9" dataDxfId="14" dataCellStyle="Vírgula">
      <calculatedColumnFormula>YEAR(Acrescentar1[[#This Row],[Data_Mov]])</calculatedColumnFormula>
    </tableColumn>
    <tableColumn id="3" xr3:uid="{00000000-0010-0000-0000-000003000000}" uniqueName="3" name="Nr_Doc" queryTableFieldId="3"/>
    <tableColumn id="4" xr3:uid="{00000000-0010-0000-0000-000004000000}" uniqueName="4" name="Historico" queryTableFieldId="4" dataDxfId="13"/>
    <tableColumn id="5" xr3:uid="{00000000-0010-0000-0000-000005000000}" uniqueName="5" name="Valor" queryTableFieldId="5"/>
    <tableColumn id="6" xr3:uid="{00000000-0010-0000-0000-000006000000}" uniqueName="6" name="Deb_Cred" queryTableFieldId="6" dataDxfId="12"/>
    <tableColumn id="7" xr3:uid="{00000000-0010-0000-0000-000007000000}" uniqueName="7" name="Coluna1" queryTableFieldId="7" dataDxfId="11">
      <calculatedColumnFormula>LEFT(RIGHT(Acrescentar1[[#This Row],[Nr_Doc]],4 ),2) &amp; ":" &amp; RIGHT(Acrescentar1[[#This Row],[Nr_Doc]],2)</calculatedColumnFormula>
    </tableColumn>
    <tableColumn id="8" xr3:uid="{00000000-0010-0000-0000-000008000000}" uniqueName="8" name="Coluna2" queryTableFieldId="8" dataDxfId="10">
      <calculatedColumnFormula>IF(Acrescentar1[[#This Row],[Historico]]="COMPRA",VLOOKUP(Acrescentar1[[#This Row],[Coluna1]],$P$2:$T$400,4,0),Acrescentar1[[#This Row],[Historico]])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_operations" displayName="Tbl_operations" ref="A1:J230" totalsRowShown="0">
  <autoFilter ref="A1:J230" xr:uid="{00000000-0009-0000-0100-000001000000}"/>
  <tableColumns count="10">
    <tableColumn id="1" xr3:uid="{00000000-0010-0000-0100-000001000000}" name="Data" dataDxfId="9">
      <calculatedColumnFormula>IF(Acrescentar1[[#This Row],[Data_Mov]],"",Acrescentar1[[#This Row],[Data_Mov]])</calculatedColumnFormula>
    </tableColumn>
    <tableColumn id="11" xr3:uid="{9A8E9073-5802-48AD-80D7-7AB5C0E5C86E}" name="Mês" dataDxfId="8">
      <calculatedColumnFormula>Acrescentar1[[#This Row],[Mês]]</calculatedColumnFormula>
    </tableColumn>
    <tableColumn id="10" xr3:uid="{9A408C89-68C1-4317-9C45-9146774F675E}" name="Ano" dataDxfId="7">
      <calculatedColumnFormula>Acrescentar1[[#This Row],[Ano]]</calculatedColumnFormula>
    </tableColumn>
    <tableColumn id="2" xr3:uid="{00000000-0010-0000-0100-000002000000}" name="Tipo" dataDxfId="6">
      <calculatedColumnFormula>VLOOKUP(Tbl_operations[[#This Row],[Categoria]],$N$3:$O$111,2,0)</calculatedColumnFormula>
    </tableColumn>
    <tableColumn id="3" xr3:uid="{00000000-0010-0000-0100-000003000000}" name="Categoria" dataDxfId="5">
      <calculatedColumnFormula>Acrescentar1[[#This Row],[Coluna2]]</calculatedColumnFormula>
    </tableColumn>
    <tableColumn id="4" xr3:uid="{00000000-0010-0000-0100-000004000000}" name="Descrição">
      <calculatedColumnFormula>#REF!</calculatedColumnFormula>
    </tableColumn>
    <tableColumn id="5" xr3:uid="{00000000-0010-0000-0100-000005000000}" name="Valor" dataDxfId="4" dataCellStyle="Moeda">
      <calculatedColumnFormula>IF(Tbl_operations[[#This Row],[Operação Bancária]]="D",-#REF!/100,#REF!/100)</calculatedColumnFormula>
    </tableColumn>
    <tableColumn id="6" xr3:uid="{00000000-0010-0000-0100-000006000000}" name="Operação Bancária" dataDxfId="3">
      <calculatedColumnFormula>#REF!</calculatedColumnFormula>
    </tableColumn>
    <tableColumn id="13" xr3:uid="{D1DDF29B-5C1B-4FE2-86FC-FA375F3A8108}" name="META" dataDxfId="2"/>
    <tableColumn id="7" xr3:uid="{00000000-0010-0000-0100-000007000000}" name="Status" dataDxfId="1">
      <calculatedColumnFormula>IF(Tbl_operations[[#This Row],[Valor]]&lt;0,"Pago","RECEBIDO")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5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Y229"/>
  <sheetViews>
    <sheetView showGridLines="0" topLeftCell="A196" workbookViewId="0">
      <selection activeCell="I226" sqref="I226"/>
    </sheetView>
  </sheetViews>
  <sheetFormatPr defaultRowHeight="14.4" x14ac:dyDescent="0.3"/>
  <cols>
    <col min="1" max="1" width="8.21875" bestFit="1" customWidth="1"/>
    <col min="2" max="2" width="12.33203125" bestFit="1" customWidth="1"/>
    <col min="3" max="3" width="12.33203125" customWidth="1"/>
    <col min="4" max="4" width="8" style="31" bestFit="1" customWidth="1"/>
    <col min="5" max="5" width="9.6640625" bestFit="1" customWidth="1"/>
    <col min="6" max="6" width="13.33203125" bestFit="1" customWidth="1"/>
    <col min="7" max="7" width="8" bestFit="1" customWidth="1"/>
    <col min="8" max="8" width="12" bestFit="1" customWidth="1"/>
    <col min="9" max="9" width="10.44140625" bestFit="1" customWidth="1"/>
    <col min="10" max="10" width="26.33203125" bestFit="1" customWidth="1"/>
    <col min="11" max="11" width="14.33203125" customWidth="1"/>
    <col min="17" max="17" width="10.6640625" bestFit="1" customWidth="1"/>
    <col min="19" max="19" width="28" customWidth="1"/>
  </cols>
  <sheetData>
    <row r="1" spans="1:25" ht="28.8" x14ac:dyDescent="0.3">
      <c r="A1" t="s">
        <v>7</v>
      </c>
      <c r="B1" t="s">
        <v>8</v>
      </c>
      <c r="C1" t="s">
        <v>170</v>
      </c>
      <c r="D1" s="31" t="s">
        <v>171</v>
      </c>
      <c r="E1" t="s">
        <v>9</v>
      </c>
      <c r="F1" t="s">
        <v>10</v>
      </c>
      <c r="G1" t="s">
        <v>3</v>
      </c>
      <c r="H1" t="s">
        <v>11</v>
      </c>
      <c r="I1" t="s">
        <v>96</v>
      </c>
      <c r="J1" t="s">
        <v>97</v>
      </c>
      <c r="Q1" s="2" t="s">
        <v>33</v>
      </c>
      <c r="R1" s="2" t="s">
        <v>34</v>
      </c>
      <c r="S1" s="2" t="s">
        <v>35</v>
      </c>
      <c r="T1" s="3" t="s">
        <v>36</v>
      </c>
      <c r="X1" t="s">
        <v>170</v>
      </c>
      <c r="Y1" t="s">
        <v>172</v>
      </c>
    </row>
    <row r="2" spans="1:25" x14ac:dyDescent="0.3">
      <c r="A2">
        <v>1</v>
      </c>
      <c r="B2" s="1">
        <v>45628</v>
      </c>
      <c r="C2" s="1" t="str">
        <f>VLOOKUP(MONTH(Acrescentar1[[#This Row],[Data_Mov]]),$X$1:$Y$13,2,0)</f>
        <v>Dezembro</v>
      </c>
      <c r="D2" s="31">
        <f>YEAR(Acrescentar1[[#This Row],[Data_Mov]])</f>
        <v>2024</v>
      </c>
      <c r="E2">
        <v>301403</v>
      </c>
      <c r="F2" t="s">
        <v>12</v>
      </c>
      <c r="G2">
        <v>90000</v>
      </c>
      <c r="H2" t="s">
        <v>13</v>
      </c>
      <c r="I2" s="9" t="str">
        <f>LEFT(RIGHT(Acrescentar1[[#This Row],[Nr_Doc]],4 ),2) &amp; ":" &amp; RIGHT(Acrescentar1[[#This Row],[Nr_Doc]],2)</f>
        <v>14:03</v>
      </c>
      <c r="J2" t="str">
        <f>IF(Acrescentar1[[#This Row],[Historico]]="COMPRA",VLOOKUP(Acrescentar1[[#This Row],[Coluna1]],$P$2:$T$400,4,0),Acrescentar1[[#This Row],[Historico]])</f>
        <v>DB AP POUP</v>
      </c>
      <c r="P2" t="str">
        <f>TEXT(R2,"hh:mm")</f>
        <v>17:54</v>
      </c>
      <c r="Q2" s="4">
        <v>45627</v>
      </c>
      <c r="R2" s="5">
        <v>0.74583333333333324</v>
      </c>
      <c r="S2" s="2" t="s">
        <v>37</v>
      </c>
      <c r="T2" s="2" t="s">
        <v>38</v>
      </c>
      <c r="X2">
        <v>1</v>
      </c>
      <c r="Y2" t="s">
        <v>173</v>
      </c>
    </row>
    <row r="3" spans="1:25" x14ac:dyDescent="0.3">
      <c r="A3">
        <v>1</v>
      </c>
      <c r="B3" s="1">
        <v>45628</v>
      </c>
      <c r="C3" s="1" t="str">
        <f>VLOOKUP(MONTH(Acrescentar1[[#This Row],[Data_Mov]]),$X$1:$Y$13,2,0)</f>
        <v>Dezembro</v>
      </c>
      <c r="D3" s="31">
        <f>YEAR(Acrescentar1[[#This Row],[Data_Mov]])</f>
        <v>2024</v>
      </c>
      <c r="E3">
        <v>301619</v>
      </c>
      <c r="F3" t="s">
        <v>14</v>
      </c>
      <c r="G3">
        <v>3000</v>
      </c>
      <c r="H3" t="s">
        <v>13</v>
      </c>
      <c r="I3" s="9" t="str">
        <f>LEFT(RIGHT(Acrescentar1[[#This Row],[Nr_Doc]],4 ),2) &amp; ":" &amp; RIGHT(Acrescentar1[[#This Row],[Nr_Doc]],2)</f>
        <v>16:19</v>
      </c>
      <c r="J3" t="str">
        <f>IF(Acrescentar1[[#This Row],[Historico]]="COMPRA",VLOOKUP(Acrescentar1[[#This Row],[Coluna1]],$P$2:$T$400,4,0),Acrescentar1[[#This Row],[Historico]])</f>
        <v>DEB WHATS</v>
      </c>
      <c r="P3" t="str">
        <f t="shared" ref="P3:P66" si="0">TEXT(R3,"hh:mm")</f>
        <v>18:38</v>
      </c>
      <c r="Q3" s="4">
        <v>45627</v>
      </c>
      <c r="R3" s="5">
        <v>0.77638888888888891</v>
      </c>
      <c r="S3" s="2" t="s">
        <v>39</v>
      </c>
      <c r="T3" s="2" t="s">
        <v>40</v>
      </c>
      <c r="X3">
        <v>2</v>
      </c>
      <c r="Y3" t="s">
        <v>174</v>
      </c>
    </row>
    <row r="4" spans="1:25" x14ac:dyDescent="0.3">
      <c r="A4">
        <v>1</v>
      </c>
      <c r="B4" s="1">
        <v>45628</v>
      </c>
      <c r="C4" s="1" t="str">
        <f>VLOOKUP(MONTH(Acrescentar1[[#This Row],[Data_Mov]]),$X$1:$Y$13,2,0)</f>
        <v>Dezembro</v>
      </c>
      <c r="D4" s="31">
        <f>YEAR(Acrescentar1[[#This Row],[Data_Mov]])</f>
        <v>2024</v>
      </c>
      <c r="E4">
        <v>301832</v>
      </c>
      <c r="F4" t="s">
        <v>168</v>
      </c>
      <c r="G4">
        <v>500</v>
      </c>
      <c r="H4" t="s">
        <v>13</v>
      </c>
      <c r="I4" s="9" t="str">
        <f>LEFT(RIGHT(Acrescentar1[[#This Row],[Nr_Doc]],4 ),2) &amp; ":" &amp; RIGHT(Acrescentar1[[#This Row],[Nr_Doc]],2)</f>
        <v>18:32</v>
      </c>
      <c r="J4" t="str">
        <f>IF(Acrescentar1[[#This Row],[Historico]]="COMPRA",VLOOKUP(Acrescentar1[[#This Row],[Coluna1]],$P$2:$T$400,4,0),Acrescentar1[[#This Row],[Historico]])</f>
        <v>app</v>
      </c>
      <c r="P4" t="str">
        <f t="shared" si="0"/>
        <v>18:59</v>
      </c>
      <c r="Q4" s="4">
        <v>45627</v>
      </c>
      <c r="R4" s="5">
        <v>0.7909722222222223</v>
      </c>
      <c r="S4" s="2" t="s">
        <v>41</v>
      </c>
      <c r="T4" s="2" t="s">
        <v>42</v>
      </c>
      <c r="X4">
        <v>3</v>
      </c>
      <c r="Y4" t="s">
        <v>175</v>
      </c>
    </row>
    <row r="5" spans="1:25" x14ac:dyDescent="0.3">
      <c r="A5">
        <v>1</v>
      </c>
      <c r="B5" s="1">
        <v>45628</v>
      </c>
      <c r="C5" s="1" t="str">
        <f>VLOOKUP(MONTH(Acrescentar1[[#This Row],[Data_Mov]]),$X$1:$Y$13,2,0)</f>
        <v>Dezembro</v>
      </c>
      <c r="D5" s="31">
        <f>YEAR(Acrescentar1[[#This Row],[Data_Mov]])</f>
        <v>2024</v>
      </c>
      <c r="E5">
        <v>11754</v>
      </c>
      <c r="F5" t="s">
        <v>15</v>
      </c>
      <c r="G5">
        <v>10000</v>
      </c>
      <c r="H5" t="s">
        <v>13</v>
      </c>
      <c r="I5" s="9" t="str">
        <f>LEFT(RIGHT(Acrescentar1[[#This Row],[Nr_Doc]],4 ),2) &amp; ":" &amp; RIGHT(Acrescentar1[[#This Row],[Nr_Doc]],2)</f>
        <v>17:54</v>
      </c>
      <c r="J5" t="str">
        <f>IF(Acrescentar1[[#This Row],[Historico]]="COMPRA",VLOOKUP(Acrescentar1[[#This Row],[Coluna1]],$P$2:$T$400,4,0),Acrescentar1[[#This Row],[Historico]])</f>
        <v>AutoPostoVitrine</v>
      </c>
      <c r="L5" s="10"/>
      <c r="P5" t="str">
        <f t="shared" si="0"/>
        <v>19:37</v>
      </c>
      <c r="Q5" s="4">
        <v>45627</v>
      </c>
      <c r="R5" s="5">
        <v>0.81736111111111109</v>
      </c>
      <c r="S5" s="2" t="s">
        <v>43</v>
      </c>
      <c r="T5" s="2" t="s">
        <v>44</v>
      </c>
      <c r="X5">
        <v>4</v>
      </c>
      <c r="Y5" t="s">
        <v>176</v>
      </c>
    </row>
    <row r="6" spans="1:25" x14ac:dyDescent="0.3">
      <c r="A6">
        <v>1</v>
      </c>
      <c r="B6" s="1">
        <v>45628</v>
      </c>
      <c r="C6" s="1" t="str">
        <f>VLOOKUP(MONTH(Acrescentar1[[#This Row],[Data_Mov]]),$X$1:$Y$13,2,0)</f>
        <v>Dezembro</v>
      </c>
      <c r="D6" s="31">
        <f>YEAR(Acrescentar1[[#This Row],[Data_Mov]])</f>
        <v>2024</v>
      </c>
      <c r="E6">
        <v>11838</v>
      </c>
      <c r="F6" t="s">
        <v>15</v>
      </c>
      <c r="G6">
        <v>290</v>
      </c>
      <c r="H6" t="s">
        <v>13</v>
      </c>
      <c r="I6" s="9" t="str">
        <f>LEFT(RIGHT(Acrescentar1[[#This Row],[Nr_Doc]],4 ),2) &amp; ":" &amp; RIGHT(Acrescentar1[[#This Row],[Nr_Doc]],2)</f>
        <v>18:38</v>
      </c>
      <c r="J6" t="str">
        <f>IF(Acrescentar1[[#This Row],[Historico]]="COMPRA",VLOOKUP(Acrescentar1[[#This Row],[Coluna1]],$P$2:$T$400,4,0),Acrescentar1[[#This Row],[Historico]])</f>
        <v>AUTOPISTA FERNAO</v>
      </c>
      <c r="L6" s="10"/>
      <c r="P6" t="str">
        <f t="shared" si="0"/>
        <v>17:57</v>
      </c>
      <c r="Q6" s="4">
        <v>45630</v>
      </c>
      <c r="R6" s="5">
        <v>0.74791666666666667</v>
      </c>
      <c r="S6" s="2" t="s">
        <v>45</v>
      </c>
      <c r="T6" s="2" t="s">
        <v>38</v>
      </c>
      <c r="X6">
        <v>5</v>
      </c>
      <c r="Y6" t="s">
        <v>177</v>
      </c>
    </row>
    <row r="7" spans="1:25" x14ac:dyDescent="0.3">
      <c r="A7">
        <v>1</v>
      </c>
      <c r="B7" s="1">
        <v>45628</v>
      </c>
      <c r="C7" s="1" t="str">
        <f>VLOOKUP(MONTH(Acrescentar1[[#This Row],[Data_Mov]]),$X$1:$Y$13,2,0)</f>
        <v>Dezembro</v>
      </c>
      <c r="D7" s="31">
        <f>YEAR(Acrescentar1[[#This Row],[Data_Mov]])</f>
        <v>2024</v>
      </c>
      <c r="E7">
        <v>11859</v>
      </c>
      <c r="F7" t="s">
        <v>15</v>
      </c>
      <c r="G7">
        <v>1010</v>
      </c>
      <c r="H7" t="s">
        <v>13</v>
      </c>
      <c r="I7" s="9" t="str">
        <f>LEFT(RIGHT(Acrescentar1[[#This Row],[Nr_Doc]],4 ),2) &amp; ":" &amp; RIGHT(Acrescentar1[[#This Row],[Nr_Doc]],2)</f>
        <v>18:59</v>
      </c>
      <c r="J7" t="str">
        <f>IF(Acrescentar1[[#This Row],[Historico]]="COMPRA",VLOOKUP(Acrescentar1[[#This Row],[Coluna1]],$P$2:$T$400,4,0),Acrescentar1[[#This Row],[Historico]])</f>
        <v>CRB FPAY</v>
      </c>
      <c r="P7" t="str">
        <f t="shared" si="0"/>
        <v>21:19</v>
      </c>
      <c r="Q7" s="4">
        <v>45631</v>
      </c>
      <c r="R7" s="5">
        <v>0.8881944444444444</v>
      </c>
      <c r="S7" s="2" t="s">
        <v>46</v>
      </c>
      <c r="T7" s="2" t="s">
        <v>47</v>
      </c>
      <c r="X7">
        <v>6</v>
      </c>
      <c r="Y7" t="s">
        <v>178</v>
      </c>
    </row>
    <row r="8" spans="1:25" x14ac:dyDescent="0.3">
      <c r="A8">
        <v>1</v>
      </c>
      <c r="B8" s="1">
        <v>45628</v>
      </c>
      <c r="C8" s="1" t="str">
        <f>VLOOKUP(MONTH(Acrescentar1[[#This Row],[Data_Mov]]),$X$1:$Y$13,2,0)</f>
        <v>Dezembro</v>
      </c>
      <c r="D8" s="31">
        <f>YEAR(Acrescentar1[[#This Row],[Data_Mov]])</f>
        <v>2024</v>
      </c>
      <c r="E8">
        <v>11937</v>
      </c>
      <c r="F8" t="s">
        <v>15</v>
      </c>
      <c r="G8">
        <v>4916</v>
      </c>
      <c r="H8" t="s">
        <v>13</v>
      </c>
      <c r="I8" s="9" t="str">
        <f>LEFT(RIGHT(Acrescentar1[[#This Row],[Nr_Doc]],4 ),2) &amp; ":" &amp; RIGHT(Acrescentar1[[#This Row],[Nr_Doc]],2)</f>
        <v>19:37</v>
      </c>
      <c r="J8" t="str">
        <f>IF(Acrescentar1[[#This Row],[Historico]]="COMPRA",VLOOKUP(Acrescentar1[[#This Row],[Coluna1]],$P$2:$T$400,4,0),Acrescentar1[[#This Row],[Historico]])</f>
        <v>SUPERMERCADO CATR</v>
      </c>
      <c r="P8" t="str">
        <f t="shared" si="0"/>
        <v>07:55</v>
      </c>
      <c r="Q8" s="4">
        <v>45632</v>
      </c>
      <c r="R8" s="5">
        <v>0.3298611111111111</v>
      </c>
      <c r="S8" s="2" t="s">
        <v>48</v>
      </c>
      <c r="T8" s="2" t="s">
        <v>49</v>
      </c>
      <c r="X8">
        <v>7</v>
      </c>
      <c r="Y8" t="s">
        <v>179</v>
      </c>
    </row>
    <row r="9" spans="1:25" x14ac:dyDescent="0.3">
      <c r="A9">
        <v>1</v>
      </c>
      <c r="B9" s="1">
        <v>45628</v>
      </c>
      <c r="C9" s="1" t="str">
        <f>VLOOKUP(MONTH(Acrescentar1[[#This Row],[Data_Mov]]),$X$1:$Y$13,2,0)</f>
        <v>Dezembro</v>
      </c>
      <c r="D9" s="31">
        <f>YEAR(Acrescentar1[[#This Row],[Data_Mov]])</f>
        <v>2024</v>
      </c>
      <c r="E9">
        <v>0</v>
      </c>
      <c r="F9" t="s">
        <v>16</v>
      </c>
      <c r="G9">
        <v>623</v>
      </c>
      <c r="H9" t="s">
        <v>13</v>
      </c>
      <c r="I9" s="9" t="str">
        <f>LEFT(RIGHT(Acrescentar1[[#This Row],[Nr_Doc]],4 ),2) &amp; ":" &amp; RIGHT(Acrescentar1[[#This Row],[Nr_Doc]],2)</f>
        <v>0:0</v>
      </c>
      <c r="J9" t="str">
        <f>IF(Acrescentar1[[#This Row],[Historico]]="COMPRA",VLOOKUP(Acrescentar1[[#This Row],[Coluna1]],$P$2:$T$400,4,0),Acrescentar1[[#This Row],[Historico]])</f>
        <v>DEB IOF</v>
      </c>
      <c r="P9" t="str">
        <f t="shared" si="0"/>
        <v>07:50</v>
      </c>
      <c r="Q9" s="4">
        <v>45635</v>
      </c>
      <c r="R9" s="5">
        <v>0.3263888888888889</v>
      </c>
      <c r="S9" s="2" t="s">
        <v>50</v>
      </c>
      <c r="T9" s="2" t="s">
        <v>51</v>
      </c>
      <c r="X9">
        <v>8</v>
      </c>
      <c r="Y9" t="s">
        <v>180</v>
      </c>
    </row>
    <row r="10" spans="1:25" x14ac:dyDescent="0.3">
      <c r="A10">
        <v>1</v>
      </c>
      <c r="B10" s="1">
        <v>45628</v>
      </c>
      <c r="C10" s="1" t="str">
        <f>VLOOKUP(MONTH(Acrescentar1[[#This Row],[Data_Mov]]),$X$1:$Y$13,2,0)</f>
        <v>Dezembro</v>
      </c>
      <c r="D10" s="31">
        <f>YEAR(Acrescentar1[[#This Row],[Data_Mov]])</f>
        <v>2024</v>
      </c>
      <c r="E10">
        <v>0</v>
      </c>
      <c r="F10" t="s">
        <v>17</v>
      </c>
      <c r="G10">
        <v>5710</v>
      </c>
      <c r="H10" t="s">
        <v>13</v>
      </c>
      <c r="I10" s="9" t="str">
        <f>LEFT(RIGHT(Acrescentar1[[#This Row],[Nr_Doc]],4 ),2) &amp; ":" &amp; RIGHT(Acrescentar1[[#This Row],[Nr_Doc]],2)</f>
        <v>0:0</v>
      </c>
      <c r="J10" t="str">
        <f>IF(Acrescentar1[[#This Row],[Historico]]="COMPRA",VLOOKUP(Acrescentar1[[#This Row],[Coluna1]],$P$2:$T$400,4,0),Acrescentar1[[#This Row],[Historico]])</f>
        <v>DEB JUROS</v>
      </c>
      <c r="P10" t="str">
        <f t="shared" si="0"/>
        <v>18:00</v>
      </c>
      <c r="Q10" s="4">
        <v>45635</v>
      </c>
      <c r="R10" s="5">
        <v>0.75</v>
      </c>
      <c r="S10" s="2" t="s">
        <v>45</v>
      </c>
      <c r="T10" s="2" t="s">
        <v>38</v>
      </c>
      <c r="X10">
        <v>9</v>
      </c>
      <c r="Y10" t="s">
        <v>181</v>
      </c>
    </row>
    <row r="11" spans="1:25" x14ac:dyDescent="0.3">
      <c r="A11">
        <v>1</v>
      </c>
      <c r="B11" s="1">
        <v>45628</v>
      </c>
      <c r="C11" s="1" t="str">
        <f>VLOOKUP(MONTH(Acrescentar1[[#This Row],[Data_Mov]]),$X$1:$Y$13,2,0)</f>
        <v>Dezembro</v>
      </c>
      <c r="D11" s="31">
        <f>YEAR(Acrescentar1[[#This Row],[Data_Mov]])</f>
        <v>2024</v>
      </c>
      <c r="E11">
        <v>0</v>
      </c>
      <c r="F11" t="s">
        <v>18</v>
      </c>
      <c r="G11">
        <v>0</v>
      </c>
      <c r="H11" t="s">
        <v>13</v>
      </c>
      <c r="I11" s="9" t="str">
        <f>LEFT(RIGHT(Acrescentar1[[#This Row],[Nr_Doc]],4 ),2) &amp; ":" &amp; RIGHT(Acrescentar1[[#This Row],[Nr_Doc]],2)</f>
        <v>0:0</v>
      </c>
      <c r="J11" t="str">
        <f>IF(Acrescentar1[[#This Row],[Historico]]="COMPRA",VLOOKUP(Acrescentar1[[#This Row],[Coluna1]],$P$2:$T$400,4,0),Acrescentar1[[#This Row],[Historico]])</f>
        <v>SALDO DIA</v>
      </c>
      <c r="P11" t="str">
        <f t="shared" si="0"/>
        <v>09:32</v>
      </c>
      <c r="Q11" s="4">
        <v>45637</v>
      </c>
      <c r="R11" s="5">
        <v>0.3972222222222222</v>
      </c>
      <c r="S11" s="2" t="s">
        <v>52</v>
      </c>
      <c r="T11" s="2" t="s">
        <v>53</v>
      </c>
      <c r="X11">
        <v>10</v>
      </c>
      <c r="Y11" t="s">
        <v>182</v>
      </c>
    </row>
    <row r="12" spans="1:25" x14ac:dyDescent="0.3">
      <c r="A12">
        <v>1</v>
      </c>
      <c r="B12" s="1">
        <v>45629</v>
      </c>
      <c r="C12" s="1" t="str">
        <f>VLOOKUP(MONTH(Acrescentar1[[#This Row],[Data_Mov]]),$X$1:$Y$13,2,0)</f>
        <v>Dezembro</v>
      </c>
      <c r="D12" s="31">
        <f>YEAR(Acrescentar1[[#This Row],[Data_Mov]])</f>
        <v>2024</v>
      </c>
      <c r="E12">
        <v>0</v>
      </c>
      <c r="F12" t="s">
        <v>18</v>
      </c>
      <c r="G12">
        <v>0</v>
      </c>
      <c r="H12" t="s">
        <v>13</v>
      </c>
      <c r="I12" s="9" t="str">
        <f>LEFT(RIGHT(Acrescentar1[[#This Row],[Nr_Doc]],4 ),2) &amp; ":" &amp; RIGHT(Acrescentar1[[#This Row],[Nr_Doc]],2)</f>
        <v>0:0</v>
      </c>
      <c r="J12" t="str">
        <f>IF(Acrescentar1[[#This Row],[Historico]]="COMPRA",VLOOKUP(Acrescentar1[[#This Row],[Coluna1]],$P$2:$T$400,4,0),Acrescentar1[[#This Row],[Historico]])</f>
        <v>SALDO DIA</v>
      </c>
      <c r="P12" t="str">
        <f t="shared" si="0"/>
        <v>18:01</v>
      </c>
      <c r="Q12" s="4">
        <v>45637</v>
      </c>
      <c r="R12" s="5">
        <v>0.75069444444444444</v>
      </c>
      <c r="S12" s="2" t="s">
        <v>45</v>
      </c>
      <c r="T12" s="2" t="s">
        <v>38</v>
      </c>
      <c r="X12">
        <v>11</v>
      </c>
      <c r="Y12" t="s">
        <v>183</v>
      </c>
    </row>
    <row r="13" spans="1:25" x14ac:dyDescent="0.3">
      <c r="A13">
        <v>1</v>
      </c>
      <c r="B13" s="1">
        <v>45630</v>
      </c>
      <c r="C13" s="1" t="str">
        <f>VLOOKUP(MONTH(Acrescentar1[[#This Row],[Data_Mov]]),$X$1:$Y$13,2,0)</f>
        <v>Dezembro</v>
      </c>
      <c r="D13" s="31">
        <f>YEAR(Acrescentar1[[#This Row],[Data_Mov]])</f>
        <v>2024</v>
      </c>
      <c r="E13">
        <v>41757</v>
      </c>
      <c r="F13" t="s">
        <v>15</v>
      </c>
      <c r="G13">
        <v>10000</v>
      </c>
      <c r="H13" t="s">
        <v>13</v>
      </c>
      <c r="I13" s="9" t="str">
        <f>LEFT(RIGHT(Acrescentar1[[#This Row],[Nr_Doc]],4 ),2) &amp; ":" &amp; RIGHT(Acrescentar1[[#This Row],[Nr_Doc]],2)</f>
        <v>17:57</v>
      </c>
      <c r="J13" t="str">
        <f>IF(Acrescentar1[[#This Row],[Historico]]="COMPRA",VLOOKUP(Acrescentar1[[#This Row],[Coluna1]],$P$2:$T$400,4,0),Acrescentar1[[#This Row],[Historico]])</f>
        <v>PParada</v>
      </c>
      <c r="P13" t="str">
        <f t="shared" si="0"/>
        <v>15:32</v>
      </c>
      <c r="Q13" s="4">
        <v>45638</v>
      </c>
      <c r="R13" s="5">
        <v>0.64722222222222225</v>
      </c>
      <c r="S13" s="2" t="s">
        <v>54</v>
      </c>
      <c r="T13" s="2" t="s">
        <v>55</v>
      </c>
      <c r="X13">
        <v>12</v>
      </c>
      <c r="Y13" t="s">
        <v>184</v>
      </c>
    </row>
    <row r="14" spans="1:25" x14ac:dyDescent="0.3">
      <c r="A14">
        <v>1</v>
      </c>
      <c r="B14" s="1">
        <v>45630</v>
      </c>
      <c r="C14" s="1" t="str">
        <f>VLOOKUP(MONTH(Acrescentar1[[#This Row],[Data_Mov]]),$X$1:$Y$13,2,0)</f>
        <v>Dezembro</v>
      </c>
      <c r="D14" s="31">
        <f>YEAR(Acrescentar1[[#This Row],[Data_Mov]])</f>
        <v>2024</v>
      </c>
      <c r="E14">
        <v>0</v>
      </c>
      <c r="F14" t="s">
        <v>18</v>
      </c>
      <c r="G14">
        <v>0</v>
      </c>
      <c r="H14" t="s">
        <v>13</v>
      </c>
      <c r="I14" s="9" t="str">
        <f>LEFT(RIGHT(Acrescentar1[[#This Row],[Nr_Doc]],4 ),2) &amp; ":" &amp; RIGHT(Acrescentar1[[#This Row],[Nr_Doc]],2)</f>
        <v>0:0</v>
      </c>
      <c r="J14" t="str">
        <f>IF(Acrescentar1[[#This Row],[Historico]]="COMPRA",VLOOKUP(Acrescentar1[[#This Row],[Coluna1]],$P$2:$T$400,4,0),Acrescentar1[[#This Row],[Historico]])</f>
        <v>SALDO DIA</v>
      </c>
      <c r="P14" t="str">
        <f t="shared" si="0"/>
        <v>19:07</v>
      </c>
      <c r="Q14" s="4">
        <v>45638</v>
      </c>
      <c r="R14" s="5">
        <v>0.79652777777777783</v>
      </c>
      <c r="S14" s="2" t="s">
        <v>56</v>
      </c>
      <c r="T14" s="2" t="s">
        <v>57</v>
      </c>
    </row>
    <row r="15" spans="1:25" x14ac:dyDescent="0.3">
      <c r="A15">
        <v>1</v>
      </c>
      <c r="B15" s="1">
        <v>45631</v>
      </c>
      <c r="C15" s="1" t="str">
        <f>VLOOKUP(MONTH(Acrescentar1[[#This Row],[Data_Mov]]),$X$1:$Y$13,2,0)</f>
        <v>Dezembro</v>
      </c>
      <c r="D15" s="31">
        <f>YEAR(Acrescentar1[[#This Row],[Data_Mov]])</f>
        <v>2024</v>
      </c>
      <c r="E15">
        <v>52119</v>
      </c>
      <c r="F15" t="s">
        <v>14</v>
      </c>
      <c r="G15">
        <v>5000</v>
      </c>
      <c r="H15" t="s">
        <v>13</v>
      </c>
      <c r="I15" s="9" t="str">
        <f>LEFT(RIGHT(Acrescentar1[[#This Row],[Nr_Doc]],4 ),2) &amp; ":" &amp; RIGHT(Acrescentar1[[#This Row],[Nr_Doc]],2)</f>
        <v>21:19</v>
      </c>
      <c r="J15" t="str">
        <f>IF(Acrescentar1[[#This Row],[Historico]]="COMPRA",VLOOKUP(Acrescentar1[[#This Row],[Coluna1]],$P$2:$T$400,4,0),Acrescentar1[[#This Row],[Historico]])</f>
        <v>DEB WHATS</v>
      </c>
      <c r="P15" t="str">
        <f t="shared" si="0"/>
        <v>17:36</v>
      </c>
      <c r="Q15" s="4">
        <v>45639</v>
      </c>
      <c r="R15" s="5">
        <v>0.73333333333333339</v>
      </c>
      <c r="S15" s="2" t="s">
        <v>45</v>
      </c>
      <c r="T15" s="2" t="s">
        <v>38</v>
      </c>
    </row>
    <row r="16" spans="1:25" x14ac:dyDescent="0.3">
      <c r="A16">
        <v>1</v>
      </c>
      <c r="B16" s="1">
        <v>45631</v>
      </c>
      <c r="C16" s="1" t="str">
        <f>VLOOKUP(MONTH(Acrescentar1[[#This Row],[Data_Mov]]),$X$1:$Y$13,2,0)</f>
        <v>Dezembro</v>
      </c>
      <c r="D16" s="31">
        <f>YEAR(Acrescentar1[[#This Row],[Data_Mov]])</f>
        <v>2024</v>
      </c>
      <c r="E16">
        <v>0</v>
      </c>
      <c r="F16" t="s">
        <v>18</v>
      </c>
      <c r="G16">
        <v>0</v>
      </c>
      <c r="H16" t="s">
        <v>13</v>
      </c>
      <c r="I16" s="9" t="str">
        <f>LEFT(RIGHT(Acrescentar1[[#This Row],[Nr_Doc]],4 ),2) &amp; ":" &amp; RIGHT(Acrescentar1[[#This Row],[Nr_Doc]],2)</f>
        <v>0:0</v>
      </c>
      <c r="J16" t="str">
        <f>IF(Acrescentar1[[#This Row],[Historico]]="COMPRA",VLOOKUP(Acrescentar1[[#This Row],[Coluna1]],$P$2:$T$400,4,0),Acrescentar1[[#This Row],[Historico]])</f>
        <v>SALDO DIA</v>
      </c>
      <c r="P16" t="str">
        <f t="shared" si="0"/>
        <v>23:29</v>
      </c>
      <c r="Q16" s="4">
        <v>45640</v>
      </c>
      <c r="R16" s="5">
        <v>0.9784722222222223</v>
      </c>
      <c r="S16" s="2" t="s">
        <v>58</v>
      </c>
      <c r="T16" s="2" t="s">
        <v>59</v>
      </c>
    </row>
    <row r="17" spans="1:20" x14ac:dyDescent="0.3">
      <c r="A17">
        <v>1</v>
      </c>
      <c r="B17" s="1">
        <v>45632</v>
      </c>
      <c r="C17" s="1" t="str">
        <f>VLOOKUP(MONTH(Acrescentar1[[#This Row],[Data_Mov]]),$X$1:$Y$13,2,0)</f>
        <v>Dezembro</v>
      </c>
      <c r="D17" s="31">
        <f>YEAR(Acrescentar1[[#This Row],[Data_Mov]])</f>
        <v>2024</v>
      </c>
      <c r="E17">
        <v>60755</v>
      </c>
      <c r="F17" t="s">
        <v>14</v>
      </c>
      <c r="G17">
        <v>1000</v>
      </c>
      <c r="H17" t="s">
        <v>13</v>
      </c>
      <c r="I17" s="9" t="str">
        <f>LEFT(RIGHT(Acrescentar1[[#This Row],[Nr_Doc]],4 ),2) &amp; ":" &amp; RIGHT(Acrescentar1[[#This Row],[Nr_Doc]],2)</f>
        <v>07:55</v>
      </c>
      <c r="J17" t="str">
        <f>IF(Acrescentar1[[#This Row],[Historico]]="COMPRA",VLOOKUP(Acrescentar1[[#This Row],[Coluna1]],$P$2:$T$400,4,0),Acrescentar1[[#This Row],[Historico]])</f>
        <v>DEB WHATS</v>
      </c>
      <c r="P17" t="str">
        <f t="shared" si="0"/>
        <v>23:31</v>
      </c>
      <c r="Q17" s="4">
        <v>45640</v>
      </c>
      <c r="R17" s="5">
        <v>0.97986111111111107</v>
      </c>
      <c r="S17" s="2" t="s">
        <v>60</v>
      </c>
      <c r="T17" s="2" t="s">
        <v>61</v>
      </c>
    </row>
    <row r="18" spans="1:20" x14ac:dyDescent="0.3">
      <c r="A18">
        <v>1</v>
      </c>
      <c r="B18" s="1">
        <v>45632</v>
      </c>
      <c r="C18" s="1" t="str">
        <f>VLOOKUP(MONTH(Acrescentar1[[#This Row],[Data_Mov]]),$X$1:$Y$13,2,0)</f>
        <v>Dezembro</v>
      </c>
      <c r="D18" s="31">
        <f>YEAR(Acrescentar1[[#This Row],[Data_Mov]])</f>
        <v>2024</v>
      </c>
      <c r="E18">
        <v>61143</v>
      </c>
      <c r="F18" t="s">
        <v>19</v>
      </c>
      <c r="G18">
        <v>6000</v>
      </c>
      <c r="H18" t="s">
        <v>13</v>
      </c>
      <c r="I18" s="9" t="str">
        <f>LEFT(RIGHT(Acrescentar1[[#This Row],[Nr_Doc]],4 ),2) &amp; ":" &amp; RIGHT(Acrescentar1[[#This Row],[Nr_Doc]],2)</f>
        <v>11:43</v>
      </c>
      <c r="J18" t="str">
        <f>IF(Acrescentar1[[#This Row],[Historico]]="COMPRA",VLOOKUP(Acrescentar1[[#This Row],[Coluna1]],$P$2:$T$400,4,0),Acrescentar1[[#This Row],[Historico]])</f>
        <v>ENVIO PIX</v>
      </c>
      <c r="P18" t="str">
        <f t="shared" si="0"/>
        <v>17:27</v>
      </c>
      <c r="Q18" s="4">
        <v>45641</v>
      </c>
      <c r="R18" s="5">
        <v>0.7270833333333333</v>
      </c>
      <c r="S18" s="2" t="s">
        <v>62</v>
      </c>
      <c r="T18" s="2" t="s">
        <v>63</v>
      </c>
    </row>
    <row r="19" spans="1:20" x14ac:dyDescent="0.3">
      <c r="A19">
        <v>1</v>
      </c>
      <c r="B19" s="1">
        <v>45632</v>
      </c>
      <c r="C19" s="1" t="str">
        <f>VLOOKUP(MONTH(Acrescentar1[[#This Row],[Data_Mov]]),$X$1:$Y$13,2,0)</f>
        <v>Dezembro</v>
      </c>
      <c r="D19" s="31">
        <f>YEAR(Acrescentar1[[#This Row],[Data_Mov]])</f>
        <v>2024</v>
      </c>
      <c r="E19">
        <v>0</v>
      </c>
      <c r="F19" t="s">
        <v>18</v>
      </c>
      <c r="G19">
        <v>0</v>
      </c>
      <c r="H19" t="s">
        <v>13</v>
      </c>
      <c r="I19" s="9" t="str">
        <f>LEFT(RIGHT(Acrescentar1[[#This Row],[Nr_Doc]],4 ),2) &amp; ":" &amp; RIGHT(Acrescentar1[[#This Row],[Nr_Doc]],2)</f>
        <v>0:0</v>
      </c>
      <c r="J19" t="str">
        <f>IF(Acrescentar1[[#This Row],[Historico]]="COMPRA",VLOOKUP(Acrescentar1[[#This Row],[Coluna1]],$P$2:$T$400,4,0),Acrescentar1[[#This Row],[Historico]])</f>
        <v>SALDO DIA</v>
      </c>
      <c r="P19" t="str">
        <f t="shared" si="0"/>
        <v>17:41</v>
      </c>
      <c r="Q19" s="4">
        <v>45641</v>
      </c>
      <c r="R19" s="5">
        <v>0.7368055555555556</v>
      </c>
      <c r="S19" s="2" t="s">
        <v>64</v>
      </c>
      <c r="T19" s="2" t="s">
        <v>65</v>
      </c>
    </row>
    <row r="20" spans="1:20" x14ac:dyDescent="0.3">
      <c r="A20">
        <v>1</v>
      </c>
      <c r="B20" s="1">
        <v>45635</v>
      </c>
      <c r="C20" s="1" t="str">
        <f>VLOOKUP(MONTH(Acrescentar1[[#This Row],[Data_Mov]]),$X$1:$Y$13,2,0)</f>
        <v>Dezembro</v>
      </c>
      <c r="D20" s="31">
        <f>YEAR(Acrescentar1[[#This Row],[Data_Mov]])</f>
        <v>2024</v>
      </c>
      <c r="E20">
        <v>72138</v>
      </c>
      <c r="F20" t="s">
        <v>19</v>
      </c>
      <c r="G20">
        <v>10800</v>
      </c>
      <c r="H20" t="s">
        <v>13</v>
      </c>
      <c r="I20" s="9" t="str">
        <f>LEFT(RIGHT(Acrescentar1[[#This Row],[Nr_Doc]],4 ),2) &amp; ":" &amp; RIGHT(Acrescentar1[[#This Row],[Nr_Doc]],2)</f>
        <v>21:38</v>
      </c>
      <c r="J20" t="str">
        <f>IF(Acrescentar1[[#This Row],[Historico]]="COMPRA",VLOOKUP(Acrescentar1[[#This Row],[Coluna1]],$P$2:$T$400,4,0),Acrescentar1[[#This Row],[Historico]])</f>
        <v>ENVIO PIX</v>
      </c>
      <c r="P20" t="str">
        <f t="shared" si="0"/>
        <v>12:04</v>
      </c>
      <c r="Q20" s="4">
        <v>45643</v>
      </c>
      <c r="R20" s="5">
        <v>0.50277777777777777</v>
      </c>
      <c r="S20" s="2" t="s">
        <v>66</v>
      </c>
      <c r="T20" s="2" t="s">
        <v>67</v>
      </c>
    </row>
    <row r="21" spans="1:20" x14ac:dyDescent="0.3">
      <c r="A21">
        <v>1</v>
      </c>
      <c r="B21" s="1">
        <v>45635</v>
      </c>
      <c r="C21" s="1" t="str">
        <f>VLOOKUP(MONTH(Acrescentar1[[#This Row],[Data_Mov]]),$X$1:$Y$13,2,0)</f>
        <v>Dezembro</v>
      </c>
      <c r="D21" s="31">
        <f>YEAR(Acrescentar1[[#This Row],[Data_Mov]])</f>
        <v>2024</v>
      </c>
      <c r="E21">
        <v>90655</v>
      </c>
      <c r="F21" t="s">
        <v>20</v>
      </c>
      <c r="G21">
        <v>5000</v>
      </c>
      <c r="H21" t="s">
        <v>21</v>
      </c>
      <c r="I21" s="9" t="str">
        <f>LEFT(RIGHT(Acrescentar1[[#This Row],[Nr_Doc]],4 ),2) &amp; ":" &amp; RIGHT(Acrescentar1[[#This Row],[Nr_Doc]],2)</f>
        <v>06:55</v>
      </c>
      <c r="J21" t="str">
        <f>IF(Acrescentar1[[#This Row],[Historico]]="COMPRA",VLOOKUP(Acrescentar1[[#This Row],[Coluna1]],$P$2:$T$400,4,0),Acrescentar1[[#This Row],[Historico]])</f>
        <v>CRED PIX</v>
      </c>
      <c r="P21" t="str">
        <f t="shared" si="0"/>
        <v>12:19</v>
      </c>
      <c r="Q21" s="4">
        <v>45643</v>
      </c>
      <c r="R21" s="5">
        <v>0.5131944444444444</v>
      </c>
      <c r="S21" s="2" t="s">
        <v>68</v>
      </c>
      <c r="T21" s="2" t="s">
        <v>61</v>
      </c>
    </row>
    <row r="22" spans="1:20" x14ac:dyDescent="0.3">
      <c r="A22">
        <v>1</v>
      </c>
      <c r="B22" s="1">
        <v>45635</v>
      </c>
      <c r="C22" s="1" t="str">
        <f>VLOOKUP(MONTH(Acrescentar1[[#This Row],[Data_Mov]]),$X$1:$Y$13,2,0)</f>
        <v>Dezembro</v>
      </c>
      <c r="D22" s="31">
        <f>YEAR(Acrescentar1[[#This Row],[Data_Mov]])</f>
        <v>2024</v>
      </c>
      <c r="E22">
        <v>90750</v>
      </c>
      <c r="F22" t="s">
        <v>15</v>
      </c>
      <c r="G22">
        <v>3000</v>
      </c>
      <c r="H22" t="s">
        <v>13</v>
      </c>
      <c r="I22" s="9" t="str">
        <f>LEFT(RIGHT(Acrescentar1[[#This Row],[Nr_Doc]],4 ),2) &amp; ":" &amp; RIGHT(Acrescentar1[[#This Row],[Nr_Doc]],2)</f>
        <v>07:50</v>
      </c>
      <c r="J22" t="str">
        <f>IF(Acrescentar1[[#This Row],[Historico]]="COMPRA",VLOOKUP(Acrescentar1[[#This Row],[Coluna1]],$P$2:$T$400,4,0),Acrescentar1[[#This Row],[Historico]])</f>
        <v>POSTO 72</v>
      </c>
      <c r="P22" t="str">
        <f t="shared" si="0"/>
        <v>13:33</v>
      </c>
      <c r="Q22" s="4">
        <v>45643</v>
      </c>
      <c r="R22" s="5">
        <v>0.56458333333333333</v>
      </c>
      <c r="S22" s="2" t="s">
        <v>69</v>
      </c>
      <c r="T22" s="2" t="s">
        <v>70</v>
      </c>
    </row>
    <row r="23" spans="1:20" x14ac:dyDescent="0.3">
      <c r="A23">
        <v>1</v>
      </c>
      <c r="B23" s="1">
        <v>45635</v>
      </c>
      <c r="C23" s="1" t="str">
        <f>VLOOKUP(MONTH(Acrescentar1[[#This Row],[Data_Mov]]),$X$1:$Y$13,2,0)</f>
        <v>Dezembro</v>
      </c>
      <c r="D23" s="31">
        <f>YEAR(Acrescentar1[[#This Row],[Data_Mov]])</f>
        <v>2024</v>
      </c>
      <c r="E23">
        <v>91800</v>
      </c>
      <c r="F23" t="s">
        <v>15</v>
      </c>
      <c r="G23">
        <v>10000</v>
      </c>
      <c r="H23" t="s">
        <v>13</v>
      </c>
      <c r="I23" s="9" t="str">
        <f>LEFT(RIGHT(Acrescentar1[[#This Row],[Nr_Doc]],4 ),2) &amp; ":" &amp; RIGHT(Acrescentar1[[#This Row],[Nr_Doc]],2)</f>
        <v>18:00</v>
      </c>
      <c r="J23" t="str">
        <f>IF(Acrescentar1[[#This Row],[Historico]]="COMPRA",VLOOKUP(Acrescentar1[[#This Row],[Coluna1]],$P$2:$T$400,4,0),Acrescentar1[[#This Row],[Historico]])</f>
        <v>PParada</v>
      </c>
      <c r="P23" t="str">
        <f t="shared" si="0"/>
        <v>15:41</v>
      </c>
      <c r="Q23" s="4">
        <v>45643</v>
      </c>
      <c r="R23" s="5">
        <v>0.65347222222222223</v>
      </c>
      <c r="S23" s="2" t="s">
        <v>71</v>
      </c>
      <c r="T23" s="2" t="s">
        <v>38</v>
      </c>
    </row>
    <row r="24" spans="1:20" x14ac:dyDescent="0.3">
      <c r="A24">
        <v>1</v>
      </c>
      <c r="B24" s="1">
        <v>45635</v>
      </c>
      <c r="C24" s="1" t="str">
        <f>VLOOKUP(MONTH(Acrescentar1[[#This Row],[Data_Mov]]),$X$1:$Y$13,2,0)</f>
        <v>Dezembro</v>
      </c>
      <c r="D24" s="31">
        <f>YEAR(Acrescentar1[[#This Row],[Data_Mov]])</f>
        <v>2024</v>
      </c>
      <c r="E24">
        <v>0</v>
      </c>
      <c r="F24" t="s">
        <v>94</v>
      </c>
      <c r="G24">
        <v>58177</v>
      </c>
      <c r="H24" t="s">
        <v>21</v>
      </c>
      <c r="I24" s="9" t="str">
        <f>LEFT(RIGHT(Acrescentar1[[#This Row],[Nr_Doc]],4 ),2) &amp; ":" &amp; RIGHT(Acrescentar1[[#This Row],[Nr_Doc]],2)</f>
        <v>0:0</v>
      </c>
      <c r="J24" t="str">
        <f>IF(Acrescentar1[[#This Row],[Historico]]="COMPRA",VLOOKUP(Acrescentar1[[#This Row],[Coluna1]],$P$2:$T$400,4,0),Acrescentar1[[#This Row],[Historico]])</f>
        <v>SALARIO</v>
      </c>
      <c r="P24" t="str">
        <f t="shared" si="0"/>
        <v>14:22</v>
      </c>
      <c r="Q24" s="4">
        <v>45645</v>
      </c>
      <c r="R24" s="5">
        <v>0.59861111111111109</v>
      </c>
      <c r="S24" s="2" t="s">
        <v>72</v>
      </c>
      <c r="T24" s="2" t="s">
        <v>73</v>
      </c>
    </row>
    <row r="25" spans="1:20" x14ac:dyDescent="0.3">
      <c r="A25">
        <v>1</v>
      </c>
      <c r="B25" s="1">
        <v>45635</v>
      </c>
      <c r="C25" s="1" t="str">
        <f>VLOOKUP(MONTH(Acrescentar1[[#This Row],[Data_Mov]]),$X$1:$Y$13,2,0)</f>
        <v>Dezembro</v>
      </c>
      <c r="D25" s="31">
        <f>YEAR(Acrescentar1[[#This Row],[Data_Mov]])</f>
        <v>2024</v>
      </c>
      <c r="E25">
        <v>0</v>
      </c>
      <c r="F25" t="s">
        <v>18</v>
      </c>
      <c r="G25">
        <v>0</v>
      </c>
      <c r="H25" t="s">
        <v>13</v>
      </c>
      <c r="I25" s="9" t="str">
        <f>LEFT(RIGHT(Acrescentar1[[#This Row],[Nr_Doc]],4 ),2) &amp; ":" &amp; RIGHT(Acrescentar1[[#This Row],[Nr_Doc]],2)</f>
        <v>0:0</v>
      </c>
      <c r="J25" t="str">
        <f>IF(Acrescentar1[[#This Row],[Historico]]="COMPRA",VLOOKUP(Acrescentar1[[#This Row],[Coluna1]],$P$2:$T$400,4,0),Acrescentar1[[#This Row],[Historico]])</f>
        <v>SALDO DIA</v>
      </c>
      <c r="P25" t="str">
        <f t="shared" si="0"/>
        <v>14:24</v>
      </c>
      <c r="Q25" s="4">
        <v>45645</v>
      </c>
      <c r="R25" s="5">
        <v>0.6</v>
      </c>
      <c r="S25" s="2" t="s">
        <v>72</v>
      </c>
      <c r="T25" s="2" t="s">
        <v>74</v>
      </c>
    </row>
    <row r="26" spans="1:20" x14ac:dyDescent="0.3">
      <c r="A26">
        <v>1</v>
      </c>
      <c r="B26" s="1">
        <v>45636</v>
      </c>
      <c r="C26" s="1" t="str">
        <f>VLOOKUP(MONTH(Acrescentar1[[#This Row],[Data_Mov]]),$X$1:$Y$13,2,0)</f>
        <v>Dezembro</v>
      </c>
      <c r="D26" s="31">
        <f>YEAR(Acrescentar1[[#This Row],[Data_Mov]])</f>
        <v>2024</v>
      </c>
      <c r="E26">
        <v>101502</v>
      </c>
      <c r="F26" t="s">
        <v>19</v>
      </c>
      <c r="G26">
        <v>1002</v>
      </c>
      <c r="H26" t="s">
        <v>13</v>
      </c>
      <c r="I26" s="9" t="str">
        <f>LEFT(RIGHT(Acrescentar1[[#This Row],[Nr_Doc]],4 ),2) &amp; ":" &amp; RIGHT(Acrescentar1[[#This Row],[Nr_Doc]],2)</f>
        <v>15:02</v>
      </c>
      <c r="J26" t="str">
        <f>IF(Acrescentar1[[#This Row],[Historico]]="COMPRA",VLOOKUP(Acrescentar1[[#This Row],[Coluna1]],$P$2:$T$400,4,0),Acrescentar1[[#This Row],[Historico]])</f>
        <v>ENVIO PIX</v>
      </c>
      <c r="P26" t="str">
        <f t="shared" si="0"/>
        <v>16:37</v>
      </c>
      <c r="Q26" s="4">
        <v>45645</v>
      </c>
      <c r="R26" s="5">
        <v>0.69236111111111109</v>
      </c>
      <c r="S26" s="2" t="s">
        <v>75</v>
      </c>
      <c r="T26" s="2" t="s">
        <v>76</v>
      </c>
    </row>
    <row r="27" spans="1:20" x14ac:dyDescent="0.3">
      <c r="A27">
        <v>1</v>
      </c>
      <c r="B27" s="1">
        <v>45636</v>
      </c>
      <c r="C27" s="1" t="str">
        <f>VLOOKUP(MONTH(Acrescentar1[[#This Row],[Data_Mov]]),$X$1:$Y$13,2,0)</f>
        <v>Dezembro</v>
      </c>
      <c r="D27" s="31">
        <f>YEAR(Acrescentar1[[#This Row],[Data_Mov]])</f>
        <v>2024</v>
      </c>
      <c r="E27">
        <v>101510</v>
      </c>
      <c r="F27" t="s">
        <v>22</v>
      </c>
      <c r="G27">
        <v>1002</v>
      </c>
      <c r="H27" t="s">
        <v>21</v>
      </c>
      <c r="I27" s="9" t="str">
        <f>LEFT(RIGHT(Acrescentar1[[#This Row],[Nr_Doc]],4 ),2) &amp; ":" &amp; RIGHT(Acrescentar1[[#This Row],[Nr_Doc]],2)</f>
        <v>15:10</v>
      </c>
      <c r="J27" t="str">
        <f>IF(Acrescentar1[[#This Row],[Historico]]="COMPRA",VLOOKUP(Acrescentar1[[#This Row],[Coluna1]],$P$2:$T$400,4,0),Acrescentar1[[#This Row],[Historico]])</f>
        <v>DEVREC PIX</v>
      </c>
      <c r="P27" t="str">
        <f t="shared" si="0"/>
        <v>17:32</v>
      </c>
      <c r="Q27" s="4">
        <v>45645</v>
      </c>
      <c r="R27" s="5">
        <v>0.73055555555555562</v>
      </c>
      <c r="S27" s="2" t="s">
        <v>77</v>
      </c>
      <c r="T27" s="2" t="s">
        <v>78</v>
      </c>
    </row>
    <row r="28" spans="1:20" x14ac:dyDescent="0.3">
      <c r="A28">
        <v>1</v>
      </c>
      <c r="B28" s="1">
        <v>45636</v>
      </c>
      <c r="C28" s="1" t="str">
        <f>VLOOKUP(MONTH(Acrescentar1[[#This Row],[Data_Mov]]),$X$1:$Y$13,2,0)</f>
        <v>Dezembro</v>
      </c>
      <c r="D28" s="31">
        <f>YEAR(Acrescentar1[[#This Row],[Data_Mov]])</f>
        <v>2024</v>
      </c>
      <c r="E28">
        <v>101533</v>
      </c>
      <c r="F28" t="s">
        <v>19</v>
      </c>
      <c r="G28">
        <v>1002</v>
      </c>
      <c r="H28" t="s">
        <v>13</v>
      </c>
      <c r="I28" s="9" t="str">
        <f>LEFT(RIGHT(Acrescentar1[[#This Row],[Nr_Doc]],4 ),2) &amp; ":" &amp; RIGHT(Acrescentar1[[#This Row],[Nr_Doc]],2)</f>
        <v>15:33</v>
      </c>
      <c r="J28" t="str">
        <f>IF(Acrescentar1[[#This Row],[Historico]]="COMPRA",VLOOKUP(Acrescentar1[[#This Row],[Coluna1]],$P$2:$T$400,4,0),Acrescentar1[[#This Row],[Historico]])</f>
        <v>ENVIO PIX</v>
      </c>
      <c r="P28" t="str">
        <f t="shared" si="0"/>
        <v>17:34</v>
      </c>
      <c r="Q28" s="4">
        <v>45645</v>
      </c>
      <c r="R28" s="5">
        <v>0.7319444444444444</v>
      </c>
      <c r="S28" s="2" t="s">
        <v>68</v>
      </c>
      <c r="T28" s="2" t="s">
        <v>61</v>
      </c>
    </row>
    <row r="29" spans="1:20" x14ac:dyDescent="0.3">
      <c r="A29">
        <v>1</v>
      </c>
      <c r="B29" s="1">
        <v>45636</v>
      </c>
      <c r="C29" s="1" t="str">
        <f>VLOOKUP(MONTH(Acrescentar1[[#This Row],[Data_Mov]]),$X$1:$Y$13,2,0)</f>
        <v>Dezembro</v>
      </c>
      <c r="D29" s="31">
        <f>YEAR(Acrescentar1[[#This Row],[Data_Mov]])</f>
        <v>2024</v>
      </c>
      <c r="E29">
        <v>101541</v>
      </c>
      <c r="F29" t="s">
        <v>22</v>
      </c>
      <c r="G29">
        <v>1002</v>
      </c>
      <c r="H29" t="s">
        <v>21</v>
      </c>
      <c r="I29" s="9" t="str">
        <f>LEFT(RIGHT(Acrescentar1[[#This Row],[Nr_Doc]],4 ),2) &amp; ":" &amp; RIGHT(Acrescentar1[[#This Row],[Nr_Doc]],2)</f>
        <v>15:41</v>
      </c>
      <c r="J29" t="str">
        <f>IF(Acrescentar1[[#This Row],[Historico]]="COMPRA",VLOOKUP(Acrescentar1[[#This Row],[Coluna1]],$P$2:$T$400,4,0),Acrescentar1[[#This Row],[Historico]])</f>
        <v>DEVREC PIX</v>
      </c>
      <c r="P29" t="str">
        <f t="shared" si="0"/>
        <v>17:55</v>
      </c>
      <c r="Q29" s="4">
        <v>45645</v>
      </c>
      <c r="R29" s="5">
        <v>0.74652777777777779</v>
      </c>
      <c r="S29" s="2" t="s">
        <v>79</v>
      </c>
      <c r="T29" s="2" t="s">
        <v>38</v>
      </c>
    </row>
    <row r="30" spans="1:20" x14ac:dyDescent="0.3">
      <c r="A30">
        <v>1</v>
      </c>
      <c r="B30" s="1">
        <v>45636</v>
      </c>
      <c r="C30" s="1" t="str">
        <f>VLOOKUP(MONTH(Acrescentar1[[#This Row],[Data_Mov]]),$X$1:$Y$13,2,0)</f>
        <v>Dezembro</v>
      </c>
      <c r="D30" s="31">
        <f>YEAR(Acrescentar1[[#This Row],[Data_Mov]])</f>
        <v>2024</v>
      </c>
      <c r="E30">
        <v>101554</v>
      </c>
      <c r="F30" t="s">
        <v>19</v>
      </c>
      <c r="G30">
        <v>1002</v>
      </c>
      <c r="H30" t="s">
        <v>13</v>
      </c>
      <c r="I30" s="9" t="str">
        <f>LEFT(RIGHT(Acrescentar1[[#This Row],[Nr_Doc]],4 ),2) &amp; ":" &amp; RIGHT(Acrescentar1[[#This Row],[Nr_Doc]],2)</f>
        <v>15:54</v>
      </c>
      <c r="J30" t="str">
        <f>IF(Acrescentar1[[#This Row],[Historico]]="COMPRA",VLOOKUP(Acrescentar1[[#This Row],[Coluna1]],$P$2:$T$400,4,0),Acrescentar1[[#This Row],[Historico]])</f>
        <v>ENVIO PIX</v>
      </c>
      <c r="P30" t="str">
        <f t="shared" si="0"/>
        <v>17:14</v>
      </c>
      <c r="Q30" s="4">
        <v>45646</v>
      </c>
      <c r="R30" s="5">
        <v>0.71805555555555556</v>
      </c>
      <c r="S30" s="2" t="s">
        <v>80</v>
      </c>
      <c r="T30" s="2" t="s">
        <v>49</v>
      </c>
    </row>
    <row r="31" spans="1:20" x14ac:dyDescent="0.3">
      <c r="A31">
        <v>1</v>
      </c>
      <c r="B31" s="1">
        <v>45636</v>
      </c>
      <c r="C31" s="1" t="str">
        <f>VLOOKUP(MONTH(Acrescentar1[[#This Row],[Data_Mov]]),$X$1:$Y$13,2,0)</f>
        <v>Dezembro</v>
      </c>
      <c r="D31" s="31">
        <f>YEAR(Acrescentar1[[#This Row],[Data_Mov]])</f>
        <v>2024</v>
      </c>
      <c r="E31">
        <v>101601</v>
      </c>
      <c r="F31" t="s">
        <v>22</v>
      </c>
      <c r="G31">
        <v>1002</v>
      </c>
      <c r="H31" t="s">
        <v>21</v>
      </c>
      <c r="I31" s="9" t="str">
        <f>LEFT(RIGHT(Acrescentar1[[#This Row],[Nr_Doc]],4 ),2) &amp; ":" &amp; RIGHT(Acrescentar1[[#This Row],[Nr_Doc]],2)</f>
        <v>16:01</v>
      </c>
      <c r="J31" t="str">
        <f>IF(Acrescentar1[[#This Row],[Historico]]="COMPRA",VLOOKUP(Acrescentar1[[#This Row],[Coluna1]],$P$2:$T$400,4,0),Acrescentar1[[#This Row],[Historico]])</f>
        <v>DEVREC PIX</v>
      </c>
      <c r="P31" t="str">
        <f t="shared" si="0"/>
        <v>14:17</v>
      </c>
      <c r="Q31" s="4">
        <v>45647</v>
      </c>
      <c r="R31" s="5">
        <v>0.59513888888888888</v>
      </c>
      <c r="S31" s="2" t="s">
        <v>81</v>
      </c>
      <c r="T31" s="2" t="s">
        <v>82</v>
      </c>
    </row>
    <row r="32" spans="1:20" x14ac:dyDescent="0.3">
      <c r="A32">
        <v>1</v>
      </c>
      <c r="B32" s="1">
        <v>45636</v>
      </c>
      <c r="C32" s="1" t="str">
        <f>VLOOKUP(MONTH(Acrescentar1[[#This Row],[Data_Mov]]),$X$1:$Y$13,2,0)</f>
        <v>Dezembro</v>
      </c>
      <c r="D32" s="31">
        <f>YEAR(Acrescentar1[[#This Row],[Data_Mov]])</f>
        <v>2024</v>
      </c>
      <c r="E32">
        <v>102025</v>
      </c>
      <c r="F32" t="s">
        <v>19</v>
      </c>
      <c r="G32">
        <v>490</v>
      </c>
      <c r="H32" t="s">
        <v>13</v>
      </c>
      <c r="I32" s="9" t="str">
        <f>LEFT(RIGHT(Acrescentar1[[#This Row],[Nr_Doc]],4 ),2) &amp; ":" &amp; RIGHT(Acrescentar1[[#This Row],[Nr_Doc]],2)</f>
        <v>20:25</v>
      </c>
      <c r="J32" t="str">
        <f>IF(Acrescentar1[[#This Row],[Historico]]="COMPRA",VLOOKUP(Acrescentar1[[#This Row],[Coluna1]],$P$2:$T$400,4,0),Acrescentar1[[#This Row],[Historico]])</f>
        <v>ENVIO PIX</v>
      </c>
      <c r="P32" t="str">
        <f t="shared" si="0"/>
        <v>07:22</v>
      </c>
      <c r="Q32" s="4">
        <v>45649</v>
      </c>
      <c r="R32" s="5">
        <v>0.30694444444444441</v>
      </c>
      <c r="S32" s="2" t="s">
        <v>83</v>
      </c>
      <c r="T32" s="2" t="s">
        <v>84</v>
      </c>
    </row>
    <row r="33" spans="1:20" x14ac:dyDescent="0.3">
      <c r="A33">
        <v>1</v>
      </c>
      <c r="B33" s="1">
        <v>45636</v>
      </c>
      <c r="C33" s="1" t="str">
        <f>VLOOKUP(MONTH(Acrescentar1[[#This Row],[Data_Mov]]),$X$1:$Y$13,2,0)</f>
        <v>Dezembro</v>
      </c>
      <c r="D33" s="31">
        <f>YEAR(Acrescentar1[[#This Row],[Data_Mov]])</f>
        <v>2024</v>
      </c>
      <c r="E33">
        <v>0</v>
      </c>
      <c r="F33" t="s">
        <v>18</v>
      </c>
      <c r="G33">
        <v>0</v>
      </c>
      <c r="H33" t="s">
        <v>13</v>
      </c>
      <c r="I33" s="9" t="str">
        <f>LEFT(RIGHT(Acrescentar1[[#This Row],[Nr_Doc]],4 ),2) &amp; ":" &amp; RIGHT(Acrescentar1[[#This Row],[Nr_Doc]],2)</f>
        <v>0:0</v>
      </c>
      <c r="J33" t="str">
        <f>IF(Acrescentar1[[#This Row],[Historico]]="COMPRA",VLOOKUP(Acrescentar1[[#This Row],[Coluna1]],$P$2:$T$400,4,0),Acrescentar1[[#This Row],[Historico]])</f>
        <v>SALDO DIA</v>
      </c>
      <c r="P33" t="str">
        <f t="shared" si="0"/>
        <v>07:34</v>
      </c>
      <c r="Q33" s="4">
        <v>45650</v>
      </c>
      <c r="R33" s="5">
        <v>0.31527777777777777</v>
      </c>
      <c r="S33" s="2" t="s">
        <v>85</v>
      </c>
      <c r="T33" s="2" t="s">
        <v>86</v>
      </c>
    </row>
    <row r="34" spans="1:20" x14ac:dyDescent="0.3">
      <c r="A34">
        <v>1</v>
      </c>
      <c r="B34" s="1">
        <v>45637</v>
      </c>
      <c r="C34" s="1" t="str">
        <f>VLOOKUP(MONTH(Acrescentar1[[#This Row],[Data_Mov]]),$X$1:$Y$13,2,0)</f>
        <v>Dezembro</v>
      </c>
      <c r="D34" s="31">
        <f>YEAR(Acrescentar1[[#This Row],[Data_Mov]])</f>
        <v>2024</v>
      </c>
      <c r="E34">
        <v>110932</v>
      </c>
      <c r="F34" t="s">
        <v>14</v>
      </c>
      <c r="G34">
        <v>4000</v>
      </c>
      <c r="H34" t="s">
        <v>13</v>
      </c>
      <c r="I34" s="9" t="str">
        <f>LEFT(RIGHT(Acrescentar1[[#This Row],[Nr_Doc]],4 ),2) &amp; ":" &amp; RIGHT(Acrescentar1[[#This Row],[Nr_Doc]],2)</f>
        <v>09:32</v>
      </c>
      <c r="J34" t="str">
        <f>IF(Acrescentar1[[#This Row],[Historico]]="COMPRA",VLOOKUP(Acrescentar1[[#This Row],[Coluna1]],$P$2:$T$400,4,0),Acrescentar1[[#This Row],[Historico]])</f>
        <v>DEB WHATS</v>
      </c>
      <c r="P34" t="str">
        <f t="shared" si="0"/>
        <v>11:45</v>
      </c>
      <c r="Q34" s="4">
        <v>45650</v>
      </c>
      <c r="R34" s="5">
        <v>0.48958333333333331</v>
      </c>
      <c r="S34" s="2" t="s">
        <v>45</v>
      </c>
      <c r="T34" s="2" t="s">
        <v>47</v>
      </c>
    </row>
    <row r="35" spans="1:20" x14ac:dyDescent="0.3">
      <c r="A35">
        <v>1</v>
      </c>
      <c r="B35" s="1">
        <v>45637</v>
      </c>
      <c r="C35" s="1" t="str">
        <f>VLOOKUP(MONTH(Acrescentar1[[#This Row],[Data_Mov]]),$X$1:$Y$13,2,0)</f>
        <v>Dezembro</v>
      </c>
      <c r="D35" s="31">
        <f>YEAR(Acrescentar1[[#This Row],[Data_Mov]])</f>
        <v>2024</v>
      </c>
      <c r="E35">
        <v>111801</v>
      </c>
      <c r="F35" t="s">
        <v>15</v>
      </c>
      <c r="G35">
        <v>10000</v>
      </c>
      <c r="H35" t="s">
        <v>13</v>
      </c>
      <c r="I35" s="9" t="str">
        <f>LEFT(RIGHT(Acrescentar1[[#This Row],[Nr_Doc]],4 ),2) &amp; ":" &amp; RIGHT(Acrescentar1[[#This Row],[Nr_Doc]],2)</f>
        <v>18:01</v>
      </c>
      <c r="J35" t="str">
        <f>IF(Acrescentar1[[#This Row],[Historico]]="COMPRA",VLOOKUP(Acrescentar1[[#This Row],[Coluna1]],$P$2:$T$400,4,0),Acrescentar1[[#This Row],[Historico]])</f>
        <v>PParada</v>
      </c>
      <c r="P35" t="str">
        <f t="shared" si="0"/>
        <v>18:02</v>
      </c>
      <c r="Q35" s="4">
        <v>45652</v>
      </c>
      <c r="R35" s="5">
        <v>0.75138888888888899</v>
      </c>
      <c r="S35" s="2" t="s">
        <v>45</v>
      </c>
      <c r="T35" s="2" t="s">
        <v>47</v>
      </c>
    </row>
    <row r="36" spans="1:20" x14ac:dyDescent="0.3">
      <c r="A36">
        <v>1</v>
      </c>
      <c r="B36" s="1">
        <v>45637</v>
      </c>
      <c r="C36" s="1" t="str">
        <f>VLOOKUP(MONTH(Acrescentar1[[#This Row],[Data_Mov]]),$X$1:$Y$13,2,0)</f>
        <v>Dezembro</v>
      </c>
      <c r="D36" s="31">
        <f>YEAR(Acrescentar1[[#This Row],[Data_Mov]])</f>
        <v>2024</v>
      </c>
      <c r="E36">
        <v>0</v>
      </c>
      <c r="F36" t="s">
        <v>18</v>
      </c>
      <c r="G36">
        <v>0</v>
      </c>
      <c r="H36" t="s">
        <v>13</v>
      </c>
      <c r="I36" s="9" t="str">
        <f>LEFT(RIGHT(Acrescentar1[[#This Row],[Nr_Doc]],4 ),2) &amp; ":" &amp; RIGHT(Acrescentar1[[#This Row],[Nr_Doc]],2)</f>
        <v>0:0</v>
      </c>
      <c r="J36" t="str">
        <f>IF(Acrescentar1[[#This Row],[Historico]]="COMPRA",VLOOKUP(Acrescentar1[[#This Row],[Coluna1]],$P$2:$T$400,4,0),Acrescentar1[[#This Row],[Historico]])</f>
        <v>SALDO DIA</v>
      </c>
      <c r="P36" t="str">
        <f t="shared" si="0"/>
        <v>17:42</v>
      </c>
      <c r="Q36" s="4">
        <v>45653</v>
      </c>
      <c r="R36" s="5">
        <v>0.73749999999999993</v>
      </c>
      <c r="S36" s="2" t="s">
        <v>87</v>
      </c>
      <c r="T36" s="2" t="s">
        <v>47</v>
      </c>
    </row>
    <row r="37" spans="1:20" x14ac:dyDescent="0.3">
      <c r="A37">
        <v>1</v>
      </c>
      <c r="B37" s="1">
        <v>45638</v>
      </c>
      <c r="C37" s="1" t="str">
        <f>VLOOKUP(MONTH(Acrescentar1[[#This Row],[Data_Mov]]),$X$1:$Y$13,2,0)</f>
        <v>Dezembro</v>
      </c>
      <c r="D37" s="31">
        <f>YEAR(Acrescentar1[[#This Row],[Data_Mov]])</f>
        <v>2024</v>
      </c>
      <c r="E37">
        <v>121532</v>
      </c>
      <c r="F37" t="s">
        <v>15</v>
      </c>
      <c r="G37">
        <v>13500</v>
      </c>
      <c r="H37" t="s">
        <v>13</v>
      </c>
      <c r="I37" s="9" t="str">
        <f>LEFT(RIGHT(Acrescentar1[[#This Row],[Nr_Doc]],4 ),2) &amp; ":" &amp; RIGHT(Acrescentar1[[#This Row],[Nr_Doc]],2)</f>
        <v>15:32</v>
      </c>
      <c r="J37" t="str">
        <f>IF(Acrescentar1[[#This Row],[Historico]]="COMPRA",VLOOKUP(Acrescentar1[[#This Row],[Coluna1]],$P$2:$T$400,4,0),Acrescentar1[[#This Row],[Historico]])</f>
        <v>GISELDA APARECIDA</v>
      </c>
      <c r="P37" t="str">
        <f t="shared" si="0"/>
        <v>10:22</v>
      </c>
      <c r="Q37" s="4">
        <v>45655</v>
      </c>
      <c r="R37" s="5">
        <v>0.43194444444444446</v>
      </c>
      <c r="S37" s="2" t="s">
        <v>80</v>
      </c>
      <c r="T37" s="2" t="s">
        <v>49</v>
      </c>
    </row>
    <row r="38" spans="1:20" x14ac:dyDescent="0.3">
      <c r="A38">
        <v>1</v>
      </c>
      <c r="B38" s="1">
        <v>45638</v>
      </c>
      <c r="C38" s="1" t="str">
        <f>VLOOKUP(MONTH(Acrescentar1[[#This Row],[Data_Mov]]),$X$1:$Y$13,2,0)</f>
        <v>Dezembro</v>
      </c>
      <c r="D38" s="31">
        <f>YEAR(Acrescentar1[[#This Row],[Data_Mov]])</f>
        <v>2024</v>
      </c>
      <c r="E38">
        <v>121907</v>
      </c>
      <c r="F38" t="s">
        <v>15</v>
      </c>
      <c r="G38">
        <v>3266</v>
      </c>
      <c r="H38" t="s">
        <v>13</v>
      </c>
      <c r="I38" s="9" t="str">
        <f>LEFT(RIGHT(Acrescentar1[[#This Row],[Nr_Doc]],4 ),2) &amp; ":" &amp; RIGHT(Acrescentar1[[#This Row],[Nr_Doc]],2)</f>
        <v>19:07</v>
      </c>
      <c r="J38" t="str">
        <f>IF(Acrescentar1[[#This Row],[Historico]]="COMPRA",VLOOKUP(Acrescentar1[[#This Row],[Coluna1]],$P$2:$T$400,4,0),Acrescentar1[[#This Row],[Historico]])</f>
        <v>DIA FRANQUIA LJ 9</v>
      </c>
      <c r="P38" t="str">
        <f t="shared" si="0"/>
        <v>11:59</v>
      </c>
      <c r="Q38" s="4">
        <v>45655</v>
      </c>
      <c r="R38" s="5">
        <v>0.4993055555555555</v>
      </c>
      <c r="S38" s="2" t="s">
        <v>88</v>
      </c>
      <c r="T38" s="2" t="s">
        <v>89</v>
      </c>
    </row>
    <row r="39" spans="1:20" x14ac:dyDescent="0.3">
      <c r="A39">
        <v>1</v>
      </c>
      <c r="B39" s="1">
        <v>45638</v>
      </c>
      <c r="C39" s="1" t="str">
        <f>VLOOKUP(MONTH(Acrescentar1[[#This Row],[Data_Mov]]),$X$1:$Y$13,2,0)</f>
        <v>Dezembro</v>
      </c>
      <c r="D39" s="31">
        <f>YEAR(Acrescentar1[[#This Row],[Data_Mov]])</f>
        <v>2024</v>
      </c>
      <c r="E39">
        <v>0</v>
      </c>
      <c r="F39" t="s">
        <v>18</v>
      </c>
      <c r="G39">
        <v>0</v>
      </c>
      <c r="H39" t="s">
        <v>13</v>
      </c>
      <c r="I39" s="9" t="str">
        <f>LEFT(RIGHT(Acrescentar1[[#This Row],[Nr_Doc]],4 ),2) &amp; ":" &amp; RIGHT(Acrescentar1[[#This Row],[Nr_Doc]],2)</f>
        <v>0:0</v>
      </c>
      <c r="J39" t="str">
        <f>IF(Acrescentar1[[#This Row],[Historico]]="COMPRA",VLOOKUP(Acrescentar1[[#This Row],[Coluna1]],$P$2:$T$400,4,0),Acrescentar1[[#This Row],[Historico]])</f>
        <v>SALDO DIA</v>
      </c>
      <c r="P39" t="str">
        <f t="shared" si="0"/>
        <v>17:28</v>
      </c>
      <c r="Q39" s="4">
        <v>45656</v>
      </c>
      <c r="R39" s="5">
        <v>0.72777777777777775</v>
      </c>
      <c r="S39" s="2" t="s">
        <v>87</v>
      </c>
      <c r="T39" s="2" t="s">
        <v>38</v>
      </c>
    </row>
    <row r="40" spans="1:20" x14ac:dyDescent="0.3">
      <c r="A40">
        <v>1</v>
      </c>
      <c r="B40" s="1">
        <v>45639</v>
      </c>
      <c r="C40" s="1" t="str">
        <f>VLOOKUP(MONTH(Acrescentar1[[#This Row],[Data_Mov]]),$X$1:$Y$13,2,0)</f>
        <v>Dezembro</v>
      </c>
      <c r="D40" s="31">
        <f>YEAR(Acrescentar1[[#This Row],[Data_Mov]])</f>
        <v>2024</v>
      </c>
      <c r="E40">
        <v>0</v>
      </c>
      <c r="F40" t="s">
        <v>94</v>
      </c>
      <c r="G40">
        <v>567045</v>
      </c>
      <c r="H40" t="s">
        <v>21</v>
      </c>
      <c r="I40" s="9" t="str">
        <f>LEFT(RIGHT(Acrescentar1[[#This Row],[Nr_Doc]],4 ),2) &amp; ":" &amp; RIGHT(Acrescentar1[[#This Row],[Nr_Doc]],2)</f>
        <v>0:0</v>
      </c>
      <c r="J40" t="str">
        <f>IF(Acrescentar1[[#This Row],[Historico]]="COMPRA",VLOOKUP(Acrescentar1[[#This Row],[Coluna1]],$P$2:$T$400,4,0),Acrescentar1[[#This Row],[Historico]])</f>
        <v>SALARIO</v>
      </c>
      <c r="P40" t="str">
        <f t="shared" si="0"/>
        <v>17:52</v>
      </c>
      <c r="Q40" s="4">
        <v>45600</v>
      </c>
      <c r="R40" s="5">
        <v>0.74444444444444446</v>
      </c>
      <c r="S40" s="2" t="s">
        <v>45</v>
      </c>
      <c r="T40" s="2" t="s">
        <v>123</v>
      </c>
    </row>
    <row r="41" spans="1:20" x14ac:dyDescent="0.3">
      <c r="A41">
        <v>1</v>
      </c>
      <c r="B41" s="1">
        <v>45639</v>
      </c>
      <c r="C41" s="1" t="str">
        <f>VLOOKUP(MONTH(Acrescentar1[[#This Row],[Data_Mov]]),$X$1:$Y$13,2,0)</f>
        <v>Dezembro</v>
      </c>
      <c r="D41" s="31">
        <f>YEAR(Acrescentar1[[#This Row],[Data_Mov]])</f>
        <v>2024</v>
      </c>
      <c r="E41">
        <v>347512</v>
      </c>
      <c r="F41" t="s">
        <v>23</v>
      </c>
      <c r="G41">
        <v>143493</v>
      </c>
      <c r="H41" t="s">
        <v>13</v>
      </c>
      <c r="I41" s="9" t="str">
        <f>LEFT(RIGHT(Acrescentar1[[#This Row],[Nr_Doc]],4 ),2) &amp; ":" &amp; RIGHT(Acrescentar1[[#This Row],[Nr_Doc]],2)</f>
        <v>75:12</v>
      </c>
      <c r="J41" t="str">
        <f>IF(Acrescentar1[[#This Row],[Historico]]="COMPRA",VLOOKUP(Acrescentar1[[#This Row],[Coluna1]],$P$2:$T$400,4,0),Acrescentar1[[#This Row],[Historico]])</f>
        <v>DEB FUNCEF</v>
      </c>
      <c r="P41" t="str">
        <f t="shared" si="0"/>
        <v>19:19</v>
      </c>
      <c r="Q41" s="4">
        <v>45603</v>
      </c>
      <c r="R41" s="5">
        <v>0.80486111111111114</v>
      </c>
      <c r="S41" s="2" t="s">
        <v>56</v>
      </c>
      <c r="T41" s="2" t="s">
        <v>124</v>
      </c>
    </row>
    <row r="42" spans="1:20" x14ac:dyDescent="0.3">
      <c r="A42">
        <v>1</v>
      </c>
      <c r="B42" s="1">
        <v>45639</v>
      </c>
      <c r="C42" s="1" t="str">
        <f>VLOOKUP(MONTH(Acrescentar1[[#This Row],[Data_Mov]]),$X$1:$Y$13,2,0)</f>
        <v>Dezembro</v>
      </c>
      <c r="D42" s="31">
        <f>YEAR(Acrescentar1[[#This Row],[Data_Mov]])</f>
        <v>2024</v>
      </c>
      <c r="E42">
        <v>130949</v>
      </c>
      <c r="F42" t="s">
        <v>19</v>
      </c>
      <c r="G42">
        <v>3500</v>
      </c>
      <c r="H42" t="s">
        <v>13</v>
      </c>
      <c r="I42" s="9" t="str">
        <f>LEFT(RIGHT(Acrescentar1[[#This Row],[Nr_Doc]],4 ),2) &amp; ":" &amp; RIGHT(Acrescentar1[[#This Row],[Nr_Doc]],2)</f>
        <v>09:49</v>
      </c>
      <c r="J42" t="str">
        <f>IF(Acrescentar1[[#This Row],[Historico]]="COMPRA",VLOOKUP(Acrescentar1[[#This Row],[Coluna1]],$P$2:$T$400,4,0),Acrescentar1[[#This Row],[Historico]])</f>
        <v>ENVIO PIX</v>
      </c>
      <c r="P42" t="str">
        <f t="shared" si="0"/>
        <v>08:08</v>
      </c>
      <c r="Q42" s="4">
        <v>45604</v>
      </c>
      <c r="R42" s="5">
        <v>0.33888888888888885</v>
      </c>
      <c r="S42" s="2" t="s">
        <v>125</v>
      </c>
      <c r="T42" s="2" t="s">
        <v>126</v>
      </c>
    </row>
    <row r="43" spans="1:20" x14ac:dyDescent="0.3">
      <c r="A43">
        <v>1</v>
      </c>
      <c r="B43" s="1">
        <v>45639</v>
      </c>
      <c r="C43" s="1" t="str">
        <f>VLOOKUP(MONTH(Acrescentar1[[#This Row],[Data_Mov]]),$X$1:$Y$13,2,0)</f>
        <v>Dezembro</v>
      </c>
      <c r="D43" s="31">
        <f>YEAR(Acrescentar1[[#This Row],[Data_Mov]])</f>
        <v>2024</v>
      </c>
      <c r="E43">
        <v>130952</v>
      </c>
      <c r="F43" t="s">
        <v>12</v>
      </c>
      <c r="G43">
        <v>370000</v>
      </c>
      <c r="H43" t="s">
        <v>13</v>
      </c>
      <c r="I43" s="9" t="str">
        <f>LEFT(RIGHT(Acrescentar1[[#This Row],[Nr_Doc]],4 ),2) &amp; ":" &amp; RIGHT(Acrescentar1[[#This Row],[Nr_Doc]],2)</f>
        <v>09:52</v>
      </c>
      <c r="J43" t="str">
        <f>IF(Acrescentar1[[#This Row],[Historico]]="COMPRA",VLOOKUP(Acrescentar1[[#This Row],[Coluna1]],$P$2:$T$400,4,0),Acrescentar1[[#This Row],[Historico]])</f>
        <v>DB AP POUP</v>
      </c>
      <c r="P43" t="str">
        <f t="shared" si="0"/>
        <v>17:55</v>
      </c>
      <c r="Q43" s="4">
        <v>45604</v>
      </c>
      <c r="R43" s="5">
        <v>0.74652777777777779</v>
      </c>
      <c r="S43" s="2" t="s">
        <v>45</v>
      </c>
      <c r="T43" s="2" t="s">
        <v>38</v>
      </c>
    </row>
    <row r="44" spans="1:20" x14ac:dyDescent="0.3">
      <c r="A44">
        <v>1</v>
      </c>
      <c r="B44" s="1">
        <v>45639</v>
      </c>
      <c r="C44" s="1" t="str">
        <f>VLOOKUP(MONTH(Acrescentar1[[#This Row],[Data_Mov]]),$X$1:$Y$13,2,0)</f>
        <v>Dezembro</v>
      </c>
      <c r="D44" s="31">
        <f>YEAR(Acrescentar1[[#This Row],[Data_Mov]])</f>
        <v>2024</v>
      </c>
      <c r="E44">
        <v>131005</v>
      </c>
      <c r="F44" t="s">
        <v>19</v>
      </c>
      <c r="G44">
        <v>2500</v>
      </c>
      <c r="H44" t="s">
        <v>13</v>
      </c>
      <c r="I44" s="9" t="str">
        <f>LEFT(RIGHT(Acrescentar1[[#This Row],[Nr_Doc]],4 ),2) &amp; ":" &amp; RIGHT(Acrescentar1[[#This Row],[Nr_Doc]],2)</f>
        <v>10:05</v>
      </c>
      <c r="J44" t="str">
        <f>IF(Acrescentar1[[#This Row],[Historico]]="COMPRA",VLOOKUP(Acrescentar1[[#This Row],[Coluna1]],$P$2:$T$400,4,0),Acrescentar1[[#This Row],[Historico]])</f>
        <v>ENVIO PIX</v>
      </c>
      <c r="P44" t="str">
        <f t="shared" si="0"/>
        <v>19:30</v>
      </c>
      <c r="Q44" s="4">
        <v>45604</v>
      </c>
      <c r="R44" s="5">
        <v>0.8125</v>
      </c>
      <c r="S44" s="2" t="s">
        <v>56</v>
      </c>
      <c r="T44" s="2" t="s">
        <v>127</v>
      </c>
    </row>
    <row r="45" spans="1:20" x14ac:dyDescent="0.3">
      <c r="A45">
        <v>1</v>
      </c>
      <c r="B45" s="1">
        <v>45639</v>
      </c>
      <c r="C45" s="1" t="str">
        <f>VLOOKUP(MONTH(Acrescentar1[[#This Row],[Data_Mov]]),$X$1:$Y$13,2,0)</f>
        <v>Dezembro</v>
      </c>
      <c r="D45" s="31">
        <f>YEAR(Acrescentar1[[#This Row],[Data_Mov]])</f>
        <v>2024</v>
      </c>
      <c r="E45">
        <v>131736</v>
      </c>
      <c r="F45" t="s">
        <v>15</v>
      </c>
      <c r="G45">
        <v>10000</v>
      </c>
      <c r="H45" t="s">
        <v>13</v>
      </c>
      <c r="I45" s="9" t="str">
        <f>LEFT(RIGHT(Acrescentar1[[#This Row],[Nr_Doc]],4 ),2) &amp; ":" &amp; RIGHT(Acrescentar1[[#This Row],[Nr_Doc]],2)</f>
        <v>17:36</v>
      </c>
      <c r="J45" t="str">
        <f>IF(Acrescentar1[[#This Row],[Historico]]="COMPRA",VLOOKUP(Acrescentar1[[#This Row],[Coluna1]],$P$2:$T$400,4,0),Acrescentar1[[#This Row],[Historico]])</f>
        <v>PParada</v>
      </c>
      <c r="P45" t="str">
        <f t="shared" si="0"/>
        <v>18:00</v>
      </c>
      <c r="Q45" s="4">
        <v>45607</v>
      </c>
      <c r="R45" s="5">
        <v>0.75</v>
      </c>
      <c r="S45" s="2" t="s">
        <v>128</v>
      </c>
      <c r="T45" s="2" t="s">
        <v>129</v>
      </c>
    </row>
    <row r="46" spans="1:20" x14ac:dyDescent="0.3">
      <c r="A46">
        <v>1</v>
      </c>
      <c r="B46" s="1">
        <v>45639</v>
      </c>
      <c r="C46" s="1" t="str">
        <f>VLOOKUP(MONTH(Acrescentar1[[#This Row],[Data_Mov]]),$X$1:$Y$13,2,0)</f>
        <v>Dezembro</v>
      </c>
      <c r="D46" s="31">
        <f>YEAR(Acrescentar1[[#This Row],[Data_Mov]])</f>
        <v>2024</v>
      </c>
      <c r="E46">
        <v>0</v>
      </c>
      <c r="F46" t="s">
        <v>18</v>
      </c>
      <c r="G46">
        <v>0</v>
      </c>
      <c r="H46" t="s">
        <v>21</v>
      </c>
      <c r="I46" s="9" t="str">
        <f>LEFT(RIGHT(Acrescentar1[[#This Row],[Nr_Doc]],4 ),2) &amp; ":" &amp; RIGHT(Acrescentar1[[#This Row],[Nr_Doc]],2)</f>
        <v>0:0</v>
      </c>
      <c r="J46" t="str">
        <f>IF(Acrescentar1[[#This Row],[Historico]]="COMPRA",VLOOKUP(Acrescentar1[[#This Row],[Coluna1]],$P$2:$T$400,4,0),Acrescentar1[[#This Row],[Historico]])</f>
        <v>SALDO DIA</v>
      </c>
      <c r="P46" t="str">
        <f t="shared" si="0"/>
        <v>18:06</v>
      </c>
      <c r="Q46" s="4">
        <v>45607</v>
      </c>
      <c r="R46" s="5">
        <v>0.75416666666666676</v>
      </c>
      <c r="S46" s="2" t="s">
        <v>45</v>
      </c>
      <c r="T46" s="2" t="s">
        <v>38</v>
      </c>
    </row>
    <row r="47" spans="1:20" x14ac:dyDescent="0.3">
      <c r="A47">
        <v>1</v>
      </c>
      <c r="B47" s="1">
        <v>45642</v>
      </c>
      <c r="C47" s="1" t="str">
        <f>VLOOKUP(MONTH(Acrescentar1[[#This Row],[Data_Mov]]),$X$1:$Y$13,2,0)</f>
        <v>Dezembro</v>
      </c>
      <c r="D47" s="31">
        <f>YEAR(Acrescentar1[[#This Row],[Data_Mov]])</f>
        <v>2024</v>
      </c>
      <c r="E47">
        <v>142329</v>
      </c>
      <c r="F47" t="s">
        <v>15</v>
      </c>
      <c r="G47">
        <v>12900</v>
      </c>
      <c r="H47" t="s">
        <v>13</v>
      </c>
      <c r="I47" s="9" t="str">
        <f>LEFT(RIGHT(Acrescentar1[[#This Row],[Nr_Doc]],4 ),2) &amp; ":" &amp; RIGHT(Acrescentar1[[#This Row],[Nr_Doc]],2)</f>
        <v>23:29</v>
      </c>
      <c r="J47" t="str">
        <f>IF(Acrescentar1[[#This Row],[Historico]]="COMPRA",VLOOKUP(Acrescentar1[[#This Row],[Coluna1]],$P$2:$T$400,4,0),Acrescentar1[[#This Row],[Historico]])</f>
        <v>PG *TON FAST DOG</v>
      </c>
      <c r="P47" t="str">
        <f t="shared" si="0"/>
        <v>18:34</v>
      </c>
      <c r="Q47" s="4">
        <v>45608</v>
      </c>
      <c r="R47" s="5">
        <v>0.77361111111111114</v>
      </c>
      <c r="S47" s="2" t="s">
        <v>56</v>
      </c>
      <c r="T47" s="2" t="s">
        <v>130</v>
      </c>
    </row>
    <row r="48" spans="1:20" x14ac:dyDescent="0.3">
      <c r="A48">
        <v>1</v>
      </c>
      <c r="B48" s="1">
        <v>45642</v>
      </c>
      <c r="C48" s="1" t="str">
        <f>VLOOKUP(MONTH(Acrescentar1[[#This Row],[Data_Mov]]),$X$1:$Y$13,2,0)</f>
        <v>Dezembro</v>
      </c>
      <c r="D48" s="31">
        <f>YEAR(Acrescentar1[[#This Row],[Data_Mov]])</f>
        <v>2024</v>
      </c>
      <c r="E48">
        <v>142331</v>
      </c>
      <c r="F48" t="s">
        <v>15</v>
      </c>
      <c r="G48">
        <v>1400</v>
      </c>
      <c r="H48" t="s">
        <v>13</v>
      </c>
      <c r="I48" s="9" t="str">
        <f>LEFT(RIGHT(Acrescentar1[[#This Row],[Nr_Doc]],4 ),2) &amp; ":" &amp; RIGHT(Acrescentar1[[#This Row],[Nr_Doc]],2)</f>
        <v>23:31</v>
      </c>
      <c r="J48" t="str">
        <f>IF(Acrescentar1[[#This Row],[Historico]]="COMPRA",VLOOKUP(Acrescentar1[[#This Row],[Coluna1]],$P$2:$T$400,4,0),Acrescentar1[[#This Row],[Historico]])</f>
        <v>FabioDaSilva</v>
      </c>
      <c r="P48" t="str">
        <f t="shared" si="0"/>
        <v>13:56</v>
      </c>
      <c r="Q48" s="4">
        <v>45609</v>
      </c>
      <c r="R48" s="5">
        <v>0.5805555555555556</v>
      </c>
      <c r="S48" s="2" t="s">
        <v>131</v>
      </c>
      <c r="T48" s="2" t="s">
        <v>132</v>
      </c>
    </row>
    <row r="49" spans="1:20" x14ac:dyDescent="0.3">
      <c r="A49">
        <v>1</v>
      </c>
      <c r="B49" s="1">
        <v>45642</v>
      </c>
      <c r="C49" s="1" t="str">
        <f>VLOOKUP(MONTH(Acrescentar1[[#This Row],[Data_Mov]]),$X$1:$Y$13,2,0)</f>
        <v>Dezembro</v>
      </c>
      <c r="D49" s="31">
        <f>YEAR(Acrescentar1[[#This Row],[Data_Mov]])</f>
        <v>2024</v>
      </c>
      <c r="E49">
        <v>151727</v>
      </c>
      <c r="F49" t="s">
        <v>15</v>
      </c>
      <c r="G49">
        <v>999</v>
      </c>
      <c r="H49" t="s">
        <v>13</v>
      </c>
      <c r="I49" s="9" t="str">
        <f>LEFT(RIGHT(Acrescentar1[[#This Row],[Nr_Doc]],4 ),2) &amp; ":" &amp; RIGHT(Acrescentar1[[#This Row],[Nr_Doc]],2)</f>
        <v>17:27</v>
      </c>
      <c r="J49" t="str">
        <f>IF(Acrescentar1[[#This Row],[Historico]]="COMPRA",VLOOKUP(Acrescentar1[[#This Row],[Coluna1]],$P$2:$T$400,4,0),Acrescentar1[[#This Row],[Historico]])</f>
        <v>FARMAVIDA JARINU</v>
      </c>
      <c r="P49" t="str">
        <f t="shared" si="0"/>
        <v>18:03</v>
      </c>
      <c r="Q49" s="4">
        <v>45609</v>
      </c>
      <c r="R49" s="5">
        <v>0.75208333333333333</v>
      </c>
      <c r="S49" s="2" t="s">
        <v>45</v>
      </c>
      <c r="T49" s="2" t="s">
        <v>38</v>
      </c>
    </row>
    <row r="50" spans="1:20" x14ac:dyDescent="0.3">
      <c r="A50">
        <v>1</v>
      </c>
      <c r="B50" s="1">
        <v>45642</v>
      </c>
      <c r="C50" s="1" t="str">
        <f>VLOOKUP(MONTH(Acrescentar1[[#This Row],[Data_Mov]]),$X$1:$Y$13,2,0)</f>
        <v>Dezembro</v>
      </c>
      <c r="D50" s="31">
        <f>YEAR(Acrescentar1[[#This Row],[Data_Mov]])</f>
        <v>2024</v>
      </c>
      <c r="E50">
        <v>151741</v>
      </c>
      <c r="F50" t="s">
        <v>15</v>
      </c>
      <c r="G50">
        <v>3600</v>
      </c>
      <c r="H50" t="s">
        <v>13</v>
      </c>
      <c r="I50" s="9" t="str">
        <f>LEFT(RIGHT(Acrescentar1[[#This Row],[Nr_Doc]],4 ),2) &amp; ":" &amp; RIGHT(Acrescentar1[[#This Row],[Nr_Doc]],2)</f>
        <v>17:41</v>
      </c>
      <c r="J50" t="str">
        <f>IF(Acrescentar1[[#This Row],[Historico]]="COMPRA",VLOOKUP(Acrescentar1[[#This Row],[Coluna1]],$P$2:$T$400,4,0),Acrescentar1[[#This Row],[Historico]])</f>
        <v>GOOD MILK SHAKE</v>
      </c>
      <c r="P50" t="str">
        <f t="shared" si="0"/>
        <v>18:44</v>
      </c>
      <c r="Q50" s="4">
        <v>45609</v>
      </c>
      <c r="R50" s="5">
        <v>0.78055555555555556</v>
      </c>
      <c r="S50" s="2" t="s">
        <v>56</v>
      </c>
      <c r="T50" s="2" t="s">
        <v>133</v>
      </c>
    </row>
    <row r="51" spans="1:20" x14ac:dyDescent="0.3">
      <c r="A51">
        <v>1</v>
      </c>
      <c r="B51" s="1">
        <v>45642</v>
      </c>
      <c r="C51" s="1" t="str">
        <f>VLOOKUP(MONTH(Acrescentar1[[#This Row],[Data_Mov]]),$X$1:$Y$13,2,0)</f>
        <v>Dezembro</v>
      </c>
      <c r="D51" s="31">
        <f>YEAR(Acrescentar1[[#This Row],[Data_Mov]])</f>
        <v>2024</v>
      </c>
      <c r="E51">
        <v>152223</v>
      </c>
      <c r="F51" t="s">
        <v>19</v>
      </c>
      <c r="G51">
        <v>11700</v>
      </c>
      <c r="H51" t="s">
        <v>13</v>
      </c>
      <c r="I51" s="9" t="str">
        <f>LEFT(RIGHT(Acrescentar1[[#This Row],[Nr_Doc]],4 ),2) &amp; ":" &amp; RIGHT(Acrescentar1[[#This Row],[Nr_Doc]],2)</f>
        <v>22:23</v>
      </c>
      <c r="J51" t="str">
        <f>IF(Acrescentar1[[#This Row],[Historico]]="COMPRA",VLOOKUP(Acrescentar1[[#This Row],[Coluna1]],$P$2:$T$400,4,0),Acrescentar1[[#This Row],[Historico]])</f>
        <v>ENVIO PIX</v>
      </c>
      <c r="P51" t="str">
        <f t="shared" si="0"/>
        <v>14:16</v>
      </c>
      <c r="Q51" s="4">
        <v>45610</v>
      </c>
      <c r="R51" s="5">
        <v>0.59444444444444444</v>
      </c>
      <c r="S51" s="2" t="s">
        <v>134</v>
      </c>
      <c r="T51" s="2" t="s">
        <v>135</v>
      </c>
    </row>
    <row r="52" spans="1:20" x14ac:dyDescent="0.3">
      <c r="A52">
        <v>1</v>
      </c>
      <c r="B52" s="1">
        <v>45642</v>
      </c>
      <c r="C52" s="1" t="str">
        <f>VLOOKUP(MONTH(Acrescentar1[[#This Row],[Data_Mov]]),$X$1:$Y$13,2,0)</f>
        <v>Dezembro</v>
      </c>
      <c r="D52" s="31">
        <f>YEAR(Acrescentar1[[#This Row],[Data_Mov]])</f>
        <v>2024</v>
      </c>
      <c r="E52">
        <v>160919</v>
      </c>
      <c r="F52" t="s">
        <v>20</v>
      </c>
      <c r="G52">
        <v>100</v>
      </c>
      <c r="H52" t="s">
        <v>21</v>
      </c>
      <c r="I52" s="9" t="str">
        <f>LEFT(RIGHT(Acrescentar1[[#This Row],[Nr_Doc]],4 ),2) &amp; ":" &amp; RIGHT(Acrescentar1[[#This Row],[Nr_Doc]],2)</f>
        <v>09:19</v>
      </c>
      <c r="J52" t="str">
        <f>IF(Acrescentar1[[#This Row],[Historico]]="COMPRA",VLOOKUP(Acrescentar1[[#This Row],[Coluna1]],$P$2:$T$400,4,0),Acrescentar1[[#This Row],[Historico]])</f>
        <v>CRED PIX</v>
      </c>
      <c r="P52" t="str">
        <f t="shared" si="0"/>
        <v>19:02</v>
      </c>
      <c r="Q52" s="4">
        <v>45610</v>
      </c>
      <c r="R52" s="5">
        <v>0.79305555555555562</v>
      </c>
      <c r="S52" s="2" t="s">
        <v>56</v>
      </c>
      <c r="T52" s="2" t="s">
        <v>136</v>
      </c>
    </row>
    <row r="53" spans="1:20" x14ac:dyDescent="0.3">
      <c r="A53">
        <v>1</v>
      </c>
      <c r="B53" s="1">
        <v>45642</v>
      </c>
      <c r="C53" s="1" t="str">
        <f>VLOOKUP(MONTH(Acrescentar1[[#This Row],[Data_Mov]]),$X$1:$Y$13,2,0)</f>
        <v>Dezembro</v>
      </c>
      <c r="D53" s="31">
        <f>YEAR(Acrescentar1[[#This Row],[Data_Mov]])</f>
        <v>2024</v>
      </c>
      <c r="E53">
        <v>0</v>
      </c>
      <c r="F53" t="s">
        <v>18</v>
      </c>
      <c r="G53">
        <v>0</v>
      </c>
      <c r="H53" t="s">
        <v>13</v>
      </c>
      <c r="I53" s="9" t="str">
        <f>LEFT(RIGHT(Acrescentar1[[#This Row],[Nr_Doc]],4 ),2) &amp; ":" &amp; RIGHT(Acrescentar1[[#This Row],[Nr_Doc]],2)</f>
        <v>0:0</v>
      </c>
      <c r="J53" t="str">
        <f>IF(Acrescentar1[[#This Row],[Historico]]="COMPRA",VLOOKUP(Acrescentar1[[#This Row],[Coluna1]],$P$2:$T$400,4,0),Acrescentar1[[#This Row],[Historico]])</f>
        <v>SALDO DIA</v>
      </c>
      <c r="P53" t="str">
        <f t="shared" si="0"/>
        <v>12:23</v>
      </c>
      <c r="Q53" s="4">
        <v>45612</v>
      </c>
      <c r="R53" s="5">
        <v>0.51597222222222217</v>
      </c>
      <c r="S53" s="2" t="s">
        <v>137</v>
      </c>
      <c r="T53" s="2" t="s">
        <v>138</v>
      </c>
    </row>
    <row r="54" spans="1:20" x14ac:dyDescent="0.3">
      <c r="A54">
        <v>1</v>
      </c>
      <c r="B54" s="1">
        <v>45643</v>
      </c>
      <c r="C54" s="1" t="str">
        <f>VLOOKUP(MONTH(Acrescentar1[[#This Row],[Data_Mov]]),$X$1:$Y$13,2,0)</f>
        <v>Dezembro</v>
      </c>
      <c r="D54" s="31">
        <f>YEAR(Acrescentar1[[#This Row],[Data_Mov]])</f>
        <v>2024</v>
      </c>
      <c r="E54">
        <v>171204</v>
      </c>
      <c r="F54" t="s">
        <v>15</v>
      </c>
      <c r="G54">
        <v>3998</v>
      </c>
      <c r="H54" t="s">
        <v>13</v>
      </c>
      <c r="I54" s="9" t="str">
        <f>LEFT(RIGHT(Acrescentar1[[#This Row],[Nr_Doc]],4 ),2) &amp; ":" &amp; RIGHT(Acrescentar1[[#This Row],[Nr_Doc]],2)</f>
        <v>12:04</v>
      </c>
      <c r="J54" t="str">
        <f>IF(Acrescentar1[[#This Row],[Historico]]="COMPRA",VLOOKUP(Acrescentar1[[#This Row],[Coluna1]],$P$2:$T$400,4,0),Acrescentar1[[#This Row],[Historico]])</f>
        <v>MARAVILHAS DO LAR MAXIS</v>
      </c>
      <c r="P54" t="str">
        <f t="shared" si="0"/>
        <v>16:55</v>
      </c>
      <c r="Q54" s="4">
        <v>45612</v>
      </c>
      <c r="R54" s="5">
        <v>0.70486111111111116</v>
      </c>
      <c r="S54" s="2" t="s">
        <v>137</v>
      </c>
      <c r="T54" s="2" t="s">
        <v>139</v>
      </c>
    </row>
    <row r="55" spans="1:20" x14ac:dyDescent="0.3">
      <c r="A55">
        <v>1</v>
      </c>
      <c r="B55" s="1">
        <v>45643</v>
      </c>
      <c r="C55" s="1" t="str">
        <f>VLOOKUP(MONTH(Acrescentar1[[#This Row],[Data_Mov]]),$X$1:$Y$13,2,0)</f>
        <v>Dezembro</v>
      </c>
      <c r="D55" s="31">
        <f>YEAR(Acrescentar1[[#This Row],[Data_Mov]])</f>
        <v>2024</v>
      </c>
      <c r="E55">
        <v>171219</v>
      </c>
      <c r="F55" t="s">
        <v>15</v>
      </c>
      <c r="G55">
        <v>1400</v>
      </c>
      <c r="H55" t="s">
        <v>13</v>
      </c>
      <c r="I55" s="9" t="str">
        <f>LEFT(RIGHT(Acrescentar1[[#This Row],[Nr_Doc]],4 ),2) &amp; ":" &amp; RIGHT(Acrescentar1[[#This Row],[Nr_Doc]],2)</f>
        <v>12:19</v>
      </c>
      <c r="J55" t="str">
        <f>IF(Acrescentar1[[#This Row],[Historico]]="COMPRA",VLOOKUP(Acrescentar1[[#This Row],[Coluna1]],$P$2:$T$400,4,0),Acrescentar1[[#This Row],[Historico]])</f>
        <v>GEMAXI ADMINISTRA</v>
      </c>
      <c r="P55" t="str">
        <f t="shared" si="0"/>
        <v>11:55</v>
      </c>
      <c r="Q55" s="4">
        <v>45613</v>
      </c>
      <c r="R55" s="5">
        <v>0.49652777777777773</v>
      </c>
      <c r="S55" s="2" t="s">
        <v>56</v>
      </c>
      <c r="T55" s="2" t="s">
        <v>140</v>
      </c>
    </row>
    <row r="56" spans="1:20" x14ac:dyDescent="0.3">
      <c r="A56">
        <v>1</v>
      </c>
      <c r="B56" s="1">
        <v>45643</v>
      </c>
      <c r="C56" s="1" t="str">
        <f>VLOOKUP(MONTH(Acrescentar1[[#This Row],[Data_Mov]]),$X$1:$Y$13,2,0)</f>
        <v>Dezembro</v>
      </c>
      <c r="D56" s="31">
        <f>YEAR(Acrescentar1[[#This Row],[Data_Mov]])</f>
        <v>2024</v>
      </c>
      <c r="E56">
        <v>171333</v>
      </c>
      <c r="F56" t="s">
        <v>15</v>
      </c>
      <c r="G56">
        <v>6400</v>
      </c>
      <c r="H56" t="s">
        <v>13</v>
      </c>
      <c r="I56" s="9" t="str">
        <f>LEFT(RIGHT(Acrescentar1[[#This Row],[Nr_Doc]],4 ),2) &amp; ":" &amp; RIGHT(Acrescentar1[[#This Row],[Nr_Doc]],2)</f>
        <v>13:33</v>
      </c>
      <c r="J56" t="str">
        <f>IF(Acrescentar1[[#This Row],[Historico]]="COMPRA",VLOOKUP(Acrescentar1[[#This Row],[Coluna1]],$P$2:$T$400,4,0),Acrescentar1[[#This Row],[Historico]])</f>
        <v>GALPAO GAUCHO</v>
      </c>
      <c r="P56" t="str">
        <f t="shared" si="0"/>
        <v>10:43</v>
      </c>
      <c r="Q56" s="4">
        <v>45614</v>
      </c>
      <c r="R56" s="5">
        <v>0.4465277777777778</v>
      </c>
      <c r="S56" s="2" t="s">
        <v>141</v>
      </c>
      <c r="T56" s="2" t="s">
        <v>142</v>
      </c>
    </row>
    <row r="57" spans="1:20" x14ac:dyDescent="0.3">
      <c r="A57">
        <v>1</v>
      </c>
      <c r="B57" s="1">
        <v>45643</v>
      </c>
      <c r="C57" s="1" t="str">
        <f>VLOOKUP(MONTH(Acrescentar1[[#This Row],[Data_Mov]]),$X$1:$Y$13,2,0)</f>
        <v>Dezembro</v>
      </c>
      <c r="D57" s="31">
        <f>YEAR(Acrescentar1[[#This Row],[Data_Mov]])</f>
        <v>2024</v>
      </c>
      <c r="E57">
        <v>171417</v>
      </c>
      <c r="F57" t="s">
        <v>169</v>
      </c>
      <c r="G57">
        <v>500</v>
      </c>
      <c r="H57" t="s">
        <v>13</v>
      </c>
      <c r="I57" s="9" t="str">
        <f>LEFT(RIGHT(Acrescentar1[[#This Row],[Nr_Doc]],4 ),2) &amp; ":" &amp; RIGHT(Acrescentar1[[#This Row],[Nr_Doc]],2)</f>
        <v>14:17</v>
      </c>
      <c r="J57" t="str">
        <f>IF(Acrescentar1[[#This Row],[Historico]]="COMPRA",VLOOKUP(Acrescentar1[[#This Row],[Coluna1]],$P$2:$T$400,4,0),Acrescentar1[[#This Row],[Historico]])</f>
        <v>APP</v>
      </c>
      <c r="P57" t="str">
        <f t="shared" si="0"/>
        <v>18:33</v>
      </c>
      <c r="Q57" s="4">
        <v>45614</v>
      </c>
      <c r="R57" s="5">
        <v>0.7729166666666667</v>
      </c>
      <c r="S57" s="2" t="s">
        <v>56</v>
      </c>
      <c r="T57" s="2" t="s">
        <v>143</v>
      </c>
    </row>
    <row r="58" spans="1:20" x14ac:dyDescent="0.3">
      <c r="A58">
        <v>1</v>
      </c>
      <c r="B58" s="1">
        <v>45643</v>
      </c>
      <c r="C58" s="1" t="str">
        <f>VLOOKUP(MONTH(Acrescentar1[[#This Row],[Data_Mov]]),$X$1:$Y$13,2,0)</f>
        <v>Dezembro</v>
      </c>
      <c r="D58" s="31">
        <f>YEAR(Acrescentar1[[#This Row],[Data_Mov]])</f>
        <v>2024</v>
      </c>
      <c r="E58">
        <v>171541</v>
      </c>
      <c r="F58" t="s">
        <v>14</v>
      </c>
      <c r="G58">
        <v>10000</v>
      </c>
      <c r="H58" t="s">
        <v>13</v>
      </c>
      <c r="I58" s="9" t="str">
        <f>LEFT(RIGHT(Acrescentar1[[#This Row],[Nr_Doc]],4 ),2) &amp; ":" &amp; RIGHT(Acrescentar1[[#This Row],[Nr_Doc]],2)</f>
        <v>15:41</v>
      </c>
      <c r="J58" t="str">
        <f>IF(Acrescentar1[[#This Row],[Historico]]="COMPRA",VLOOKUP(Acrescentar1[[#This Row],[Coluna1]],$P$2:$T$400,4,0),Acrescentar1[[#This Row],[Historico]])</f>
        <v>DEB WHATS</v>
      </c>
      <c r="P58" t="str">
        <f t="shared" si="0"/>
        <v>08:10</v>
      </c>
      <c r="Q58" s="4">
        <v>45615</v>
      </c>
      <c r="R58" s="5">
        <v>0.34027777777777773</v>
      </c>
      <c r="S58" s="2" t="s">
        <v>125</v>
      </c>
      <c r="T58" s="2" t="s">
        <v>130</v>
      </c>
    </row>
    <row r="59" spans="1:20" x14ac:dyDescent="0.3">
      <c r="A59">
        <v>1</v>
      </c>
      <c r="B59" s="1">
        <v>45643</v>
      </c>
      <c r="C59" s="1" t="str">
        <f>VLOOKUP(MONTH(Acrescentar1[[#This Row],[Data_Mov]]),$X$1:$Y$13,2,0)</f>
        <v>Dezembro</v>
      </c>
      <c r="D59" s="31">
        <f>YEAR(Acrescentar1[[#This Row],[Data_Mov]])</f>
        <v>2024</v>
      </c>
      <c r="E59">
        <v>0</v>
      </c>
      <c r="F59" t="s">
        <v>18</v>
      </c>
      <c r="G59">
        <v>0</v>
      </c>
      <c r="H59" t="s">
        <v>13</v>
      </c>
      <c r="I59" s="9" t="str">
        <f>LEFT(RIGHT(Acrescentar1[[#This Row],[Nr_Doc]],4 ),2) &amp; ":" &amp; RIGHT(Acrescentar1[[#This Row],[Nr_Doc]],2)</f>
        <v>0:0</v>
      </c>
      <c r="J59" t="str">
        <f>IF(Acrescentar1[[#This Row],[Historico]]="COMPRA",VLOOKUP(Acrescentar1[[#This Row],[Coluna1]],$P$2:$T$400,4,0),Acrescentar1[[#This Row],[Historico]])</f>
        <v>SALDO DIA</v>
      </c>
      <c r="P59" t="str">
        <f t="shared" si="0"/>
        <v>17:57</v>
      </c>
      <c r="Q59" s="4">
        <v>45615</v>
      </c>
      <c r="R59" s="5">
        <v>0.74791666666666667</v>
      </c>
      <c r="S59" s="2" t="s">
        <v>45</v>
      </c>
      <c r="T59" s="2" t="s">
        <v>47</v>
      </c>
    </row>
    <row r="60" spans="1:20" x14ac:dyDescent="0.3">
      <c r="A60">
        <v>1</v>
      </c>
      <c r="B60" s="1">
        <v>45644</v>
      </c>
      <c r="C60" s="1" t="str">
        <f>VLOOKUP(MONTH(Acrescentar1[[#This Row],[Data_Mov]]),$X$1:$Y$13,2,0)</f>
        <v>Dezembro</v>
      </c>
      <c r="D60" s="31">
        <f>YEAR(Acrescentar1[[#This Row],[Data_Mov]])</f>
        <v>2024</v>
      </c>
      <c r="E60">
        <v>0</v>
      </c>
      <c r="F60" t="s">
        <v>18</v>
      </c>
      <c r="G60">
        <v>0</v>
      </c>
      <c r="H60" t="s">
        <v>13</v>
      </c>
      <c r="I60" s="9" t="str">
        <f>LEFT(RIGHT(Acrescentar1[[#This Row],[Nr_Doc]],4 ),2) &amp; ":" &amp; RIGHT(Acrescentar1[[#This Row],[Nr_Doc]],2)</f>
        <v>0:0</v>
      </c>
      <c r="J60" t="str">
        <f>IF(Acrescentar1[[#This Row],[Historico]]="COMPRA",VLOOKUP(Acrescentar1[[#This Row],[Coluna1]],$P$2:$T$400,4,0),Acrescentar1[[#This Row],[Historico]])</f>
        <v>SALDO DIA</v>
      </c>
      <c r="P60" t="str">
        <f t="shared" si="0"/>
        <v>14:23</v>
      </c>
      <c r="Q60" s="4">
        <v>45616</v>
      </c>
      <c r="R60" s="5">
        <v>0.59930555555555554</v>
      </c>
      <c r="S60" s="2" t="s">
        <v>144</v>
      </c>
      <c r="T60" s="2" t="s">
        <v>145</v>
      </c>
    </row>
    <row r="61" spans="1:20" x14ac:dyDescent="0.3">
      <c r="A61">
        <v>1</v>
      </c>
      <c r="B61" s="1">
        <v>45645</v>
      </c>
      <c r="C61" s="1" t="str">
        <f>VLOOKUP(MONTH(Acrescentar1[[#This Row],[Data_Mov]]),$X$1:$Y$13,2,0)</f>
        <v>Dezembro</v>
      </c>
      <c r="D61" s="31">
        <f>YEAR(Acrescentar1[[#This Row],[Data_Mov]])</f>
        <v>2024</v>
      </c>
      <c r="E61">
        <v>191422</v>
      </c>
      <c r="F61" t="s">
        <v>15</v>
      </c>
      <c r="G61">
        <v>10500</v>
      </c>
      <c r="H61" t="s">
        <v>13</v>
      </c>
      <c r="I61" s="9" t="str">
        <f>LEFT(RIGHT(Acrescentar1[[#This Row],[Nr_Doc]],4 ),2) &amp; ":" &amp; RIGHT(Acrescentar1[[#This Row],[Nr_Doc]],2)</f>
        <v>14:22</v>
      </c>
      <c r="J61" t="str">
        <f>IF(Acrescentar1[[#This Row],[Historico]]="COMPRA",VLOOKUP(Acrescentar1[[#This Row],[Coluna1]],$P$2:$T$400,4,0),Acrescentar1[[#This Row],[Historico]])</f>
        <v>MOVIECOM MAXI JUNDIAI</v>
      </c>
      <c r="P61" t="str">
        <f t="shared" si="0"/>
        <v>16:05</v>
      </c>
      <c r="Q61" s="4">
        <v>45616</v>
      </c>
      <c r="R61" s="5">
        <v>0.67013888888888884</v>
      </c>
      <c r="S61" s="2" t="s">
        <v>79</v>
      </c>
      <c r="T61" s="2" t="s">
        <v>38</v>
      </c>
    </row>
    <row r="62" spans="1:20" x14ac:dyDescent="0.3">
      <c r="A62">
        <v>1</v>
      </c>
      <c r="B62" s="1">
        <v>45645</v>
      </c>
      <c r="C62" s="1" t="str">
        <f>VLOOKUP(MONTH(Acrescentar1[[#This Row],[Data_Mov]]),$X$1:$Y$13,2,0)</f>
        <v>Dezembro</v>
      </c>
      <c r="D62" s="31">
        <f>YEAR(Acrescentar1[[#This Row],[Data_Mov]])</f>
        <v>2024</v>
      </c>
      <c r="E62">
        <v>191424</v>
      </c>
      <c r="F62" t="s">
        <v>15</v>
      </c>
      <c r="G62">
        <v>1550</v>
      </c>
      <c r="H62" t="s">
        <v>13</v>
      </c>
      <c r="I62" s="9" t="str">
        <f>LEFT(RIGHT(Acrescentar1[[#This Row],[Nr_Doc]],4 ),2) &amp; ":" &amp; RIGHT(Acrescentar1[[#This Row],[Nr_Doc]],2)</f>
        <v>14:24</v>
      </c>
      <c r="J62" t="str">
        <f>IF(Acrescentar1[[#This Row],[Historico]]="COMPRA",VLOOKUP(Acrescentar1[[#This Row],[Coluna1]],$P$2:$T$400,4,0),Acrescentar1[[#This Row],[Historico]])</f>
        <v>MOVIECOM MAXI JUNDIAI</v>
      </c>
      <c r="P62" t="str">
        <f t="shared" si="0"/>
        <v>14:49</v>
      </c>
      <c r="Q62" s="4">
        <v>45617</v>
      </c>
      <c r="R62" s="5">
        <v>0.61736111111111114</v>
      </c>
      <c r="S62" s="2" t="s">
        <v>41</v>
      </c>
      <c r="T62" s="2" t="s">
        <v>42</v>
      </c>
    </row>
    <row r="63" spans="1:20" x14ac:dyDescent="0.3">
      <c r="A63">
        <v>1</v>
      </c>
      <c r="B63" s="1">
        <v>45645</v>
      </c>
      <c r="C63" s="1" t="str">
        <f>VLOOKUP(MONTH(Acrescentar1[[#This Row],[Data_Mov]]),$X$1:$Y$13,2,0)</f>
        <v>Dezembro</v>
      </c>
      <c r="D63" s="31">
        <f>YEAR(Acrescentar1[[#This Row],[Data_Mov]])</f>
        <v>2024</v>
      </c>
      <c r="E63">
        <v>191637</v>
      </c>
      <c r="F63" t="s">
        <v>15</v>
      </c>
      <c r="G63">
        <v>8770</v>
      </c>
      <c r="H63" t="s">
        <v>13</v>
      </c>
      <c r="I63" s="9" t="str">
        <f>LEFT(RIGHT(Acrescentar1[[#This Row],[Nr_Doc]],4 ),2) &amp; ":" &amp; RIGHT(Acrescentar1[[#This Row],[Nr_Doc]],2)</f>
        <v>16:37</v>
      </c>
      <c r="J63" t="str">
        <f>IF(Acrescentar1[[#This Row],[Historico]]="COMPRA",VLOOKUP(Acrescentar1[[#This Row],[Coluna1]],$P$2:$T$400,4,0),Acrescentar1[[#This Row],[Historico]])</f>
        <v>BURGER KING</v>
      </c>
      <c r="P63" t="str">
        <f t="shared" si="0"/>
        <v>18:04</v>
      </c>
      <c r="Q63" s="4">
        <v>45617</v>
      </c>
      <c r="R63" s="5">
        <v>0.75277777777777777</v>
      </c>
      <c r="S63" s="2" t="s">
        <v>45</v>
      </c>
      <c r="T63" s="2" t="s">
        <v>38</v>
      </c>
    </row>
    <row r="64" spans="1:20" x14ac:dyDescent="0.3">
      <c r="A64">
        <v>1</v>
      </c>
      <c r="B64" s="1">
        <v>45645</v>
      </c>
      <c r="C64" s="1" t="str">
        <f>VLOOKUP(MONTH(Acrescentar1[[#This Row],[Data_Mov]]),$X$1:$Y$13,2,0)</f>
        <v>Dezembro</v>
      </c>
      <c r="D64" s="31">
        <f>YEAR(Acrescentar1[[#This Row],[Data_Mov]])</f>
        <v>2024</v>
      </c>
      <c r="E64">
        <v>191718</v>
      </c>
      <c r="F64" t="s">
        <v>24</v>
      </c>
      <c r="G64">
        <v>2000</v>
      </c>
      <c r="H64" t="s">
        <v>13</v>
      </c>
      <c r="I64" s="9" t="str">
        <f>LEFT(RIGHT(Acrescentar1[[#This Row],[Nr_Doc]],4 ),2) &amp; ":" &amp; RIGHT(Acrescentar1[[#This Row],[Nr_Doc]],2)</f>
        <v>17:18</v>
      </c>
      <c r="J64" t="str">
        <f>IF(Acrescentar1[[#This Row],[Historico]]="COMPRA",VLOOKUP(Acrescentar1[[#This Row],[Coluna1]],$P$2:$T$400,4,0),Acrescentar1[[#This Row],[Historico]])</f>
        <v>SAQUE LOT</v>
      </c>
      <c r="P64" t="str">
        <f t="shared" si="0"/>
        <v>18:47</v>
      </c>
      <c r="Q64" s="4">
        <v>45617</v>
      </c>
      <c r="R64" s="5">
        <v>0.78263888888888899</v>
      </c>
      <c r="S64" s="2" t="s">
        <v>56</v>
      </c>
      <c r="T64" s="2" t="s">
        <v>146</v>
      </c>
    </row>
    <row r="65" spans="1:20" x14ac:dyDescent="0.3">
      <c r="A65">
        <v>1</v>
      </c>
      <c r="B65" s="1">
        <v>45645</v>
      </c>
      <c r="C65" s="1" t="str">
        <f>VLOOKUP(MONTH(Acrescentar1[[#This Row],[Data_Mov]]),$X$1:$Y$13,2,0)</f>
        <v>Dezembro</v>
      </c>
      <c r="D65" s="31">
        <f>YEAR(Acrescentar1[[#This Row],[Data_Mov]])</f>
        <v>2024</v>
      </c>
      <c r="E65">
        <v>191732</v>
      </c>
      <c r="F65" t="s">
        <v>15</v>
      </c>
      <c r="G65">
        <v>19555</v>
      </c>
      <c r="H65" t="s">
        <v>13</v>
      </c>
      <c r="I65" s="9" t="str">
        <f>LEFT(RIGHT(Acrescentar1[[#This Row],[Nr_Doc]],4 ),2) &amp; ":" &amp; RIGHT(Acrescentar1[[#This Row],[Nr_Doc]],2)</f>
        <v>17:32</v>
      </c>
      <c r="J65" t="str">
        <f>IF(Acrescentar1[[#This Row],[Historico]]="COMPRA",VLOOKUP(Acrescentar1[[#This Row],[Coluna1]],$P$2:$T$400,4,0),Acrescentar1[[#This Row],[Historico]])</f>
        <v>DROGASIL2881</v>
      </c>
      <c r="P65" t="str">
        <f t="shared" si="0"/>
        <v>16:17</v>
      </c>
      <c r="Q65" s="4">
        <v>45618</v>
      </c>
      <c r="R65" s="5">
        <v>0.67847222222222225</v>
      </c>
      <c r="S65" s="2" t="s">
        <v>147</v>
      </c>
      <c r="T65" s="2" t="s">
        <v>148</v>
      </c>
    </row>
    <row r="66" spans="1:20" x14ac:dyDescent="0.3">
      <c r="A66">
        <v>1</v>
      </c>
      <c r="B66" s="1">
        <v>45645</v>
      </c>
      <c r="C66" s="1" t="str">
        <f>VLOOKUP(MONTH(Acrescentar1[[#This Row],[Data_Mov]]),$X$1:$Y$13,2,0)</f>
        <v>Dezembro</v>
      </c>
      <c r="D66" s="31">
        <f>YEAR(Acrescentar1[[#This Row],[Data_Mov]])</f>
        <v>2024</v>
      </c>
      <c r="E66">
        <v>191734</v>
      </c>
      <c r="F66" t="s">
        <v>15</v>
      </c>
      <c r="G66">
        <v>1400</v>
      </c>
      <c r="H66" t="s">
        <v>13</v>
      </c>
      <c r="I66" s="9" t="str">
        <f>LEFT(RIGHT(Acrescentar1[[#This Row],[Nr_Doc]],4 ),2) &amp; ":" &amp; RIGHT(Acrescentar1[[#This Row],[Nr_Doc]],2)</f>
        <v>17:34</v>
      </c>
      <c r="J66" t="str">
        <f>IF(Acrescentar1[[#This Row],[Historico]]="COMPRA",VLOOKUP(Acrescentar1[[#This Row],[Coluna1]],$P$2:$T$400,4,0),Acrescentar1[[#This Row],[Historico]])</f>
        <v>GEMAXI ADMINISTRA</v>
      </c>
      <c r="P66" t="str">
        <f t="shared" si="0"/>
        <v>07:53</v>
      </c>
      <c r="Q66" s="4">
        <v>45619</v>
      </c>
      <c r="R66" s="5">
        <v>0.32847222222222222</v>
      </c>
      <c r="S66" s="2" t="s">
        <v>83</v>
      </c>
      <c r="T66" s="2" t="s">
        <v>84</v>
      </c>
    </row>
    <row r="67" spans="1:20" x14ac:dyDescent="0.3">
      <c r="A67">
        <v>1</v>
      </c>
      <c r="B67" s="1">
        <v>45645</v>
      </c>
      <c r="C67" s="1" t="str">
        <f>VLOOKUP(MONTH(Acrescentar1[[#This Row],[Data_Mov]]),$X$1:$Y$13,2,0)</f>
        <v>Dezembro</v>
      </c>
      <c r="D67" s="31">
        <f>YEAR(Acrescentar1[[#This Row],[Data_Mov]])</f>
        <v>2024</v>
      </c>
      <c r="E67">
        <v>191754</v>
      </c>
      <c r="F67" t="s">
        <v>25</v>
      </c>
      <c r="G67">
        <v>20000</v>
      </c>
      <c r="H67" t="s">
        <v>21</v>
      </c>
      <c r="I67" s="9" t="str">
        <f>LEFT(RIGHT(Acrescentar1[[#This Row],[Nr_Doc]],4 ),2) &amp; ":" &amp; RIGHT(Acrescentar1[[#This Row],[Nr_Doc]],2)</f>
        <v>17:54</v>
      </c>
      <c r="J67" t="str">
        <f>IF(Acrescentar1[[#This Row],[Historico]]="COMPRA",VLOOKUP(Acrescentar1[[#This Row],[Coluna1]],$P$2:$T$400,4,0),Acrescentar1[[#This Row],[Historico]])</f>
        <v>CR RG POUP</v>
      </c>
      <c r="P67" t="str">
        <f t="shared" ref="P67:P83" si="1">TEXT(R67,"hh:mm")</f>
        <v>22:02</v>
      </c>
      <c r="Q67" s="4">
        <v>45619</v>
      </c>
      <c r="R67" s="5">
        <v>0.91805555555555562</v>
      </c>
      <c r="S67" s="2" t="s">
        <v>149</v>
      </c>
      <c r="T67" s="2" t="s">
        <v>82</v>
      </c>
    </row>
    <row r="68" spans="1:20" x14ac:dyDescent="0.3">
      <c r="A68">
        <v>1</v>
      </c>
      <c r="B68" s="1">
        <v>45645</v>
      </c>
      <c r="C68" s="1" t="str">
        <f>VLOOKUP(MONTH(Acrescentar1[[#This Row],[Data_Mov]]),$X$1:$Y$13,2,0)</f>
        <v>Dezembro</v>
      </c>
      <c r="D68" s="31">
        <f>YEAR(Acrescentar1[[#This Row],[Data_Mov]])</f>
        <v>2024</v>
      </c>
      <c r="E68">
        <v>191755</v>
      </c>
      <c r="F68" t="s">
        <v>15</v>
      </c>
      <c r="G68">
        <v>10000</v>
      </c>
      <c r="H68" t="s">
        <v>13</v>
      </c>
      <c r="I68" s="9" t="str">
        <f>LEFT(RIGHT(Acrescentar1[[#This Row],[Nr_Doc]],4 ),2) &amp; ":" &amp; RIGHT(Acrescentar1[[#This Row],[Nr_Doc]],2)</f>
        <v>17:55</v>
      </c>
      <c r="J68" t="str">
        <f>IF(Acrescentar1[[#This Row],[Historico]]="COMPRA",VLOOKUP(Acrescentar1[[#This Row],[Coluna1]],$P$2:$T$400,4,0),Acrescentar1[[#This Row],[Historico]])</f>
        <v>SAO JOAO CONVENIENCIA</v>
      </c>
      <c r="P68" t="str">
        <f t="shared" si="1"/>
        <v>08:27</v>
      </c>
      <c r="Q68" s="4">
        <v>45620</v>
      </c>
      <c r="R68" s="5">
        <v>0.3520833333333333</v>
      </c>
      <c r="S68" s="2" t="s">
        <v>56</v>
      </c>
      <c r="T68" s="2" t="s">
        <v>150</v>
      </c>
    </row>
    <row r="69" spans="1:20" x14ac:dyDescent="0.3">
      <c r="A69">
        <v>1</v>
      </c>
      <c r="B69" s="1">
        <v>45645</v>
      </c>
      <c r="C69" s="1" t="str">
        <f>VLOOKUP(MONTH(Acrescentar1[[#This Row],[Data_Mov]]),$X$1:$Y$13,2,0)</f>
        <v>Dezembro</v>
      </c>
      <c r="D69" s="31">
        <f>YEAR(Acrescentar1[[#This Row],[Data_Mov]])</f>
        <v>2024</v>
      </c>
      <c r="E69">
        <v>191843</v>
      </c>
      <c r="F69" t="s">
        <v>169</v>
      </c>
      <c r="G69">
        <v>500</v>
      </c>
      <c r="H69" t="s">
        <v>13</v>
      </c>
      <c r="I69" s="9" t="str">
        <f>LEFT(RIGHT(Acrescentar1[[#This Row],[Nr_Doc]],4 ),2) &amp; ":" &amp; RIGHT(Acrescentar1[[#This Row],[Nr_Doc]],2)</f>
        <v>18:43</v>
      </c>
      <c r="J69" t="str">
        <f>IF(Acrescentar1[[#This Row],[Historico]]="COMPRA",VLOOKUP(Acrescentar1[[#This Row],[Coluna1]],$P$2:$T$400,4,0),Acrescentar1[[#This Row],[Historico]])</f>
        <v>APP</v>
      </c>
      <c r="P69" t="str">
        <f t="shared" si="1"/>
        <v>18:11</v>
      </c>
      <c r="Q69" s="4">
        <v>45621</v>
      </c>
      <c r="R69" s="5">
        <v>0.75763888888888886</v>
      </c>
      <c r="S69" s="2" t="s">
        <v>45</v>
      </c>
      <c r="T69" s="2" t="s">
        <v>38</v>
      </c>
    </row>
    <row r="70" spans="1:20" x14ac:dyDescent="0.3">
      <c r="A70">
        <v>1</v>
      </c>
      <c r="B70" s="1">
        <v>45645</v>
      </c>
      <c r="C70" s="1" t="str">
        <f>VLOOKUP(MONTH(Acrescentar1[[#This Row],[Data_Mov]]),$X$1:$Y$13,2,0)</f>
        <v>Dezembro</v>
      </c>
      <c r="D70" s="31">
        <f>YEAR(Acrescentar1[[#This Row],[Data_Mov]])</f>
        <v>2024</v>
      </c>
      <c r="E70">
        <v>0</v>
      </c>
      <c r="F70" t="s">
        <v>18</v>
      </c>
      <c r="G70">
        <v>0</v>
      </c>
      <c r="H70" t="s">
        <v>13</v>
      </c>
      <c r="I70" s="9" t="str">
        <f>LEFT(RIGHT(Acrescentar1[[#This Row],[Nr_Doc]],4 ),2) &amp; ":" &amp; RIGHT(Acrescentar1[[#This Row],[Nr_Doc]],2)</f>
        <v>0:0</v>
      </c>
      <c r="J70" t="str">
        <f>IF(Acrescentar1[[#This Row],[Historico]]="COMPRA",VLOOKUP(Acrescentar1[[#This Row],[Coluna1]],$P$2:$T$400,4,0),Acrescentar1[[#This Row],[Historico]])</f>
        <v>SALDO DIA</v>
      </c>
      <c r="P70" t="str">
        <f t="shared" si="1"/>
        <v>18:51</v>
      </c>
      <c r="Q70" s="4">
        <v>45621</v>
      </c>
      <c r="R70" s="5">
        <v>0.78541666666666676</v>
      </c>
      <c r="S70" s="2" t="s">
        <v>56</v>
      </c>
      <c r="T70" s="2" t="s">
        <v>151</v>
      </c>
    </row>
    <row r="71" spans="1:20" x14ac:dyDescent="0.3">
      <c r="A71">
        <v>1</v>
      </c>
      <c r="B71" s="1">
        <v>45646</v>
      </c>
      <c r="C71" s="1" t="str">
        <f>VLOOKUP(MONTH(Acrescentar1[[#This Row],[Data_Mov]]),$X$1:$Y$13,2,0)</f>
        <v>Dezembro</v>
      </c>
      <c r="D71" s="31">
        <f>YEAR(Acrescentar1[[#This Row],[Data_Mov]])</f>
        <v>2024</v>
      </c>
      <c r="E71">
        <v>201103</v>
      </c>
      <c r="F71" t="s">
        <v>25</v>
      </c>
      <c r="G71">
        <v>350000</v>
      </c>
      <c r="H71" t="s">
        <v>21</v>
      </c>
      <c r="I71" s="9" t="str">
        <f>LEFT(RIGHT(Acrescentar1[[#This Row],[Nr_Doc]],4 ),2) &amp; ":" &amp; RIGHT(Acrescentar1[[#This Row],[Nr_Doc]],2)</f>
        <v>11:03</v>
      </c>
      <c r="J71" t="str">
        <f>IF(Acrescentar1[[#This Row],[Historico]]="COMPRA",VLOOKUP(Acrescentar1[[#This Row],[Coluna1]],$P$2:$T$400,4,0),Acrescentar1[[#This Row],[Historico]])</f>
        <v>CR RG POUP</v>
      </c>
      <c r="P71" t="str">
        <f t="shared" si="1"/>
        <v>18:08</v>
      </c>
      <c r="Q71" s="4">
        <v>45622</v>
      </c>
      <c r="R71" s="5">
        <v>0.75555555555555554</v>
      </c>
      <c r="S71" s="2" t="s">
        <v>152</v>
      </c>
      <c r="T71" s="2" t="s">
        <v>51</v>
      </c>
    </row>
    <row r="72" spans="1:20" x14ac:dyDescent="0.3">
      <c r="A72">
        <v>1</v>
      </c>
      <c r="B72" s="1">
        <v>45646</v>
      </c>
      <c r="C72" s="1" t="str">
        <f>VLOOKUP(MONTH(Acrescentar1[[#This Row],[Data_Mov]]),$X$1:$Y$13,2,0)</f>
        <v>Dezembro</v>
      </c>
      <c r="D72" s="31">
        <f>YEAR(Acrescentar1[[#This Row],[Data_Mov]])</f>
        <v>2024</v>
      </c>
      <c r="E72">
        <v>201104</v>
      </c>
      <c r="F72" t="s">
        <v>26</v>
      </c>
      <c r="G72">
        <v>250644</v>
      </c>
      <c r="H72" t="s">
        <v>13</v>
      </c>
      <c r="I72" s="9" t="str">
        <f>LEFT(RIGHT(Acrescentar1[[#This Row],[Nr_Doc]],4 ),2) &amp; ":" &amp; RIGHT(Acrescentar1[[#This Row],[Nr_Doc]],2)</f>
        <v>11:04</v>
      </c>
      <c r="J72" t="str">
        <f>IF(Acrescentar1[[#This Row],[Historico]]="COMPRA",VLOOKUP(Acrescentar1[[#This Row],[Coluna1]],$P$2:$T$400,4,0),Acrescentar1[[#This Row],[Historico]])</f>
        <v>PAG BOLETO</v>
      </c>
      <c r="P72" t="str">
        <f t="shared" si="1"/>
        <v>19:48</v>
      </c>
      <c r="Q72" s="4">
        <v>45622</v>
      </c>
      <c r="R72" s="5">
        <v>0.82500000000000007</v>
      </c>
      <c r="S72" s="2" t="s">
        <v>56</v>
      </c>
      <c r="T72" s="2" t="s">
        <v>153</v>
      </c>
    </row>
    <row r="73" spans="1:20" x14ac:dyDescent="0.3">
      <c r="A73">
        <v>1</v>
      </c>
      <c r="B73" s="1">
        <v>45646</v>
      </c>
      <c r="C73" s="1" t="str">
        <f>VLOOKUP(MONTH(Acrescentar1[[#This Row],[Data_Mov]]),$X$1:$Y$13,2,0)</f>
        <v>Dezembro</v>
      </c>
      <c r="D73" s="31">
        <f>YEAR(Acrescentar1[[#This Row],[Data_Mov]])</f>
        <v>2024</v>
      </c>
      <c r="E73">
        <v>201107</v>
      </c>
      <c r="F73" t="s">
        <v>26</v>
      </c>
      <c r="G73">
        <v>24660</v>
      </c>
      <c r="H73" t="s">
        <v>13</v>
      </c>
      <c r="I73" s="9" t="str">
        <f>LEFT(RIGHT(Acrescentar1[[#This Row],[Nr_Doc]],4 ),2) &amp; ":" &amp; RIGHT(Acrescentar1[[#This Row],[Nr_Doc]],2)</f>
        <v>11:07</v>
      </c>
      <c r="J73" t="str">
        <f>IF(Acrescentar1[[#This Row],[Historico]]="COMPRA",VLOOKUP(Acrescentar1[[#This Row],[Coluna1]],$P$2:$T$400,4,0),Acrescentar1[[#This Row],[Historico]])</f>
        <v>PAG BOLETO</v>
      </c>
      <c r="P73" t="str">
        <f t="shared" si="1"/>
        <v>13:56</v>
      </c>
      <c r="Q73" s="4">
        <v>45623</v>
      </c>
      <c r="R73" s="5">
        <v>0.5805555555555556</v>
      </c>
      <c r="S73" s="2" t="s">
        <v>41</v>
      </c>
      <c r="T73" s="2" t="s">
        <v>42</v>
      </c>
    </row>
    <row r="74" spans="1:20" x14ac:dyDescent="0.3">
      <c r="A74">
        <v>1</v>
      </c>
      <c r="B74" s="1">
        <v>45646</v>
      </c>
      <c r="C74" s="1" t="str">
        <f>VLOOKUP(MONTH(Acrescentar1[[#This Row],[Data_Mov]]),$X$1:$Y$13,2,0)</f>
        <v>Dezembro</v>
      </c>
      <c r="D74" s="31">
        <f>YEAR(Acrescentar1[[#This Row],[Data_Mov]])</f>
        <v>2024</v>
      </c>
      <c r="E74">
        <v>201112</v>
      </c>
      <c r="F74" t="s">
        <v>26</v>
      </c>
      <c r="G74">
        <v>31133</v>
      </c>
      <c r="H74" t="s">
        <v>13</v>
      </c>
      <c r="I74" s="9" t="str">
        <f>LEFT(RIGHT(Acrescentar1[[#This Row],[Nr_Doc]],4 ),2) &amp; ":" &amp; RIGHT(Acrescentar1[[#This Row],[Nr_Doc]],2)</f>
        <v>11:12</v>
      </c>
      <c r="J74" t="str">
        <f>IF(Acrescentar1[[#This Row],[Historico]]="COMPRA",VLOOKUP(Acrescentar1[[#This Row],[Coluna1]],$P$2:$T$400,4,0),Acrescentar1[[#This Row],[Historico]])</f>
        <v>PAG BOLETO</v>
      </c>
      <c r="P74" t="str">
        <f t="shared" si="1"/>
        <v>17:15</v>
      </c>
      <c r="Q74" s="4">
        <v>45623</v>
      </c>
      <c r="R74" s="5">
        <v>0.71875</v>
      </c>
      <c r="S74" s="2" t="s">
        <v>79</v>
      </c>
      <c r="T74" s="2" t="s">
        <v>38</v>
      </c>
    </row>
    <row r="75" spans="1:20" x14ac:dyDescent="0.3">
      <c r="A75">
        <v>1</v>
      </c>
      <c r="B75" s="1">
        <v>45646</v>
      </c>
      <c r="C75" s="1" t="str">
        <f>VLOOKUP(MONTH(Acrescentar1[[#This Row],[Data_Mov]]),$X$1:$Y$13,2,0)</f>
        <v>Dezembro</v>
      </c>
      <c r="D75" s="31">
        <f>YEAR(Acrescentar1[[#This Row],[Data_Mov]])</f>
        <v>2024</v>
      </c>
      <c r="E75">
        <v>201116</v>
      </c>
      <c r="F75" t="s">
        <v>19</v>
      </c>
      <c r="G75">
        <v>12990</v>
      </c>
      <c r="H75" t="s">
        <v>13</v>
      </c>
      <c r="I75" s="9" t="str">
        <f>LEFT(RIGHT(Acrescentar1[[#This Row],[Nr_Doc]],4 ),2) &amp; ":" &amp; RIGHT(Acrescentar1[[#This Row],[Nr_Doc]],2)</f>
        <v>11:16</v>
      </c>
      <c r="J75" t="str">
        <f>IF(Acrescentar1[[#This Row],[Historico]]="COMPRA",VLOOKUP(Acrescentar1[[#This Row],[Coluna1]],$P$2:$T$400,4,0),Acrescentar1[[#This Row],[Historico]])</f>
        <v>ENVIO PIX</v>
      </c>
      <c r="P75" t="str">
        <f t="shared" si="1"/>
        <v>18:33</v>
      </c>
      <c r="Q75" s="4">
        <v>45624</v>
      </c>
      <c r="R75" s="5">
        <v>0.7729166666666667</v>
      </c>
      <c r="S75" s="2" t="s">
        <v>56</v>
      </c>
      <c r="T75" s="2" t="s">
        <v>154</v>
      </c>
    </row>
    <row r="76" spans="1:20" x14ac:dyDescent="0.3">
      <c r="A76">
        <v>1</v>
      </c>
      <c r="B76" s="1">
        <v>45646</v>
      </c>
      <c r="C76" s="1" t="str">
        <f>VLOOKUP(MONTH(Acrescentar1[[#This Row],[Data_Mov]]),$X$1:$Y$13,2,0)</f>
        <v>Dezembro</v>
      </c>
      <c r="D76" s="31">
        <f>YEAR(Acrescentar1[[#This Row],[Data_Mov]])</f>
        <v>2024</v>
      </c>
      <c r="E76">
        <v>201119</v>
      </c>
      <c r="F76" t="s">
        <v>25</v>
      </c>
      <c r="G76">
        <v>50000</v>
      </c>
      <c r="H76" t="s">
        <v>21</v>
      </c>
      <c r="I76" s="9" t="str">
        <f>LEFT(RIGHT(Acrescentar1[[#This Row],[Nr_Doc]],4 ),2) &amp; ":" &amp; RIGHT(Acrescentar1[[#This Row],[Nr_Doc]],2)</f>
        <v>11:19</v>
      </c>
      <c r="J76" t="str">
        <f>IF(Acrescentar1[[#This Row],[Historico]]="COMPRA",VLOOKUP(Acrescentar1[[#This Row],[Coluna1]],$P$2:$T$400,4,0),Acrescentar1[[#This Row],[Historico]])</f>
        <v>CR RG POUP</v>
      </c>
      <c r="P76" t="str">
        <f t="shared" si="1"/>
        <v>18:50</v>
      </c>
      <c r="Q76" s="4">
        <v>45624</v>
      </c>
      <c r="R76" s="5">
        <v>0.78472222222222221</v>
      </c>
      <c r="S76" s="2" t="s">
        <v>155</v>
      </c>
      <c r="T76" s="2" t="s">
        <v>156</v>
      </c>
    </row>
    <row r="77" spans="1:20" x14ac:dyDescent="0.3">
      <c r="A77">
        <v>1</v>
      </c>
      <c r="B77" s="1">
        <v>45646</v>
      </c>
      <c r="C77" s="1" t="str">
        <f>VLOOKUP(MONTH(Acrescentar1[[#This Row],[Data_Mov]]),$X$1:$Y$13,2,0)</f>
        <v>Dezembro</v>
      </c>
      <c r="D77" s="31">
        <f>YEAR(Acrescentar1[[#This Row],[Data_Mov]])</f>
        <v>2024</v>
      </c>
      <c r="E77">
        <v>0</v>
      </c>
      <c r="F77" t="s">
        <v>27</v>
      </c>
      <c r="G77">
        <v>56175</v>
      </c>
      <c r="H77" t="s">
        <v>13</v>
      </c>
      <c r="I77" s="9" t="str">
        <f>LEFT(RIGHT(Acrescentar1[[#This Row],[Nr_Doc]],4 ),2) &amp; ":" &amp; RIGHT(Acrescentar1[[#This Row],[Nr_Doc]],2)</f>
        <v>0:0</v>
      </c>
      <c r="J77" t="str">
        <f>IF(Acrescentar1[[#This Row],[Historico]]="COMPRA",VLOOKUP(Acrescentar1[[#This Row],[Coluna1]],$P$2:$T$400,4,0),Acrescentar1[[#This Row],[Historico]])</f>
        <v>PREST CDC</v>
      </c>
      <c r="P77" t="str">
        <f t="shared" si="1"/>
        <v>17:53</v>
      </c>
      <c r="Q77" s="4">
        <v>45625</v>
      </c>
      <c r="R77" s="5">
        <v>0.74513888888888891</v>
      </c>
      <c r="S77" s="2" t="s">
        <v>45</v>
      </c>
      <c r="T77" s="2" t="s">
        <v>38</v>
      </c>
    </row>
    <row r="78" spans="1:20" x14ac:dyDescent="0.3">
      <c r="A78">
        <v>1</v>
      </c>
      <c r="B78" s="1">
        <v>45646</v>
      </c>
      <c r="C78" s="1" t="str">
        <f>VLOOKUP(MONTH(Acrescentar1[[#This Row],[Data_Mov]]),$X$1:$Y$13,2,0)</f>
        <v>Dezembro</v>
      </c>
      <c r="D78" s="31">
        <f>YEAR(Acrescentar1[[#This Row],[Data_Mov]])</f>
        <v>2024</v>
      </c>
      <c r="E78">
        <v>201714</v>
      </c>
      <c r="F78" t="s">
        <v>15</v>
      </c>
      <c r="G78">
        <v>1000</v>
      </c>
      <c r="H78" t="s">
        <v>13</v>
      </c>
      <c r="I78" s="9" t="str">
        <f>LEFT(RIGHT(Acrescentar1[[#This Row],[Nr_Doc]],4 ),2) &amp; ":" &amp; RIGHT(Acrescentar1[[#This Row],[Nr_Doc]],2)</f>
        <v>17:14</v>
      </c>
      <c r="J78" t="str">
        <f>IF(Acrescentar1[[#This Row],[Historico]]="COMPRA",VLOOKUP(Acrescentar1[[#This Row],[Coluna1]],$P$2:$T$400,4,0),Acrescentar1[[#This Row],[Historico]])</f>
        <v>Comercialagro</v>
      </c>
      <c r="P78" t="str">
        <f t="shared" si="1"/>
        <v>20:52</v>
      </c>
      <c r="Q78" s="4">
        <v>45625</v>
      </c>
      <c r="R78" s="5">
        <v>0.86944444444444446</v>
      </c>
      <c r="S78" s="2" t="s">
        <v>39</v>
      </c>
      <c r="T78" s="2" t="s">
        <v>40</v>
      </c>
    </row>
    <row r="79" spans="1:20" x14ac:dyDescent="0.3">
      <c r="A79">
        <v>1</v>
      </c>
      <c r="B79" s="1">
        <v>45646</v>
      </c>
      <c r="C79" s="1" t="str">
        <f>VLOOKUP(MONTH(Acrescentar1[[#This Row],[Data_Mov]]),$X$1:$Y$13,2,0)</f>
        <v>Dezembro</v>
      </c>
      <c r="D79" s="31">
        <f>YEAR(Acrescentar1[[#This Row],[Data_Mov]])</f>
        <v>2024</v>
      </c>
      <c r="E79">
        <v>0</v>
      </c>
      <c r="F79" t="s">
        <v>18</v>
      </c>
      <c r="G79">
        <v>0</v>
      </c>
      <c r="H79" t="s">
        <v>13</v>
      </c>
      <c r="I79" s="9" t="str">
        <f>LEFT(RIGHT(Acrescentar1[[#This Row],[Nr_Doc]],4 ),2) &amp; ":" &amp; RIGHT(Acrescentar1[[#This Row],[Nr_Doc]],2)</f>
        <v>0:0</v>
      </c>
      <c r="J79" t="str">
        <f>IF(Acrescentar1[[#This Row],[Historico]]="COMPRA",VLOOKUP(Acrescentar1[[#This Row],[Coluna1]],$P$2:$T$400,4,0),Acrescentar1[[#This Row],[Historico]])</f>
        <v>SALDO DIA</v>
      </c>
      <c r="P79" t="str">
        <f t="shared" si="1"/>
        <v>16:19</v>
      </c>
      <c r="Q79" s="4">
        <v>45626</v>
      </c>
      <c r="R79" s="5">
        <v>0.67986111111111114</v>
      </c>
      <c r="S79" s="2" t="s">
        <v>157</v>
      </c>
      <c r="T79" s="2" t="s">
        <v>51</v>
      </c>
    </row>
    <row r="80" spans="1:20" x14ac:dyDescent="0.3">
      <c r="A80">
        <v>1</v>
      </c>
      <c r="B80" s="1">
        <v>45649</v>
      </c>
      <c r="C80" s="1" t="str">
        <f>VLOOKUP(MONTH(Acrescentar1[[#This Row],[Data_Mov]]),$X$1:$Y$13,2,0)</f>
        <v>Dezembro</v>
      </c>
      <c r="D80" s="31">
        <f>YEAR(Acrescentar1[[#This Row],[Data_Mov]])</f>
        <v>2024</v>
      </c>
      <c r="E80">
        <v>211417</v>
      </c>
      <c r="F80" t="s">
        <v>15</v>
      </c>
      <c r="G80">
        <v>11000</v>
      </c>
      <c r="H80" t="s">
        <v>13</v>
      </c>
      <c r="I80" s="9" t="str">
        <f>LEFT(RIGHT(Acrescentar1[[#This Row],[Nr_Doc]],4 ),2) &amp; ":" &amp; RIGHT(Acrescentar1[[#This Row],[Nr_Doc]],2)</f>
        <v>14:17</v>
      </c>
      <c r="J80" t="str">
        <f>IF(Acrescentar1[[#This Row],[Historico]]="COMPRA",VLOOKUP(Acrescentar1[[#This Row],[Coluna1]],$P$2:$T$400,4,0),Acrescentar1[[#This Row],[Historico]])</f>
        <v>FACIGAS</v>
      </c>
      <c r="P80" t="str">
        <f t="shared" si="1"/>
        <v>17:54</v>
      </c>
      <c r="Q80" s="4">
        <v>45627</v>
      </c>
      <c r="R80" s="5">
        <v>0.74583333333333324</v>
      </c>
      <c r="S80" s="2" t="s">
        <v>37</v>
      </c>
      <c r="T80" s="2" t="s">
        <v>38</v>
      </c>
    </row>
    <row r="81" spans="1:20" x14ac:dyDescent="0.3">
      <c r="A81">
        <v>1</v>
      </c>
      <c r="B81" s="1">
        <v>45649</v>
      </c>
      <c r="C81" s="1" t="str">
        <f>VLOOKUP(MONTH(Acrescentar1[[#This Row],[Data_Mov]]),$X$1:$Y$13,2,0)</f>
        <v>Dezembro</v>
      </c>
      <c r="D81" s="31">
        <f>YEAR(Acrescentar1[[#This Row],[Data_Mov]])</f>
        <v>2024</v>
      </c>
      <c r="E81">
        <v>329493</v>
      </c>
      <c r="F81" t="s">
        <v>28</v>
      </c>
      <c r="G81">
        <v>8066</v>
      </c>
      <c r="H81" t="s">
        <v>13</v>
      </c>
      <c r="I81" s="9" t="str">
        <f>LEFT(RIGHT(Acrescentar1[[#This Row],[Nr_Doc]],4 ),2) &amp; ":" &amp; RIGHT(Acrescentar1[[#This Row],[Nr_Doc]],2)</f>
        <v>94:93</v>
      </c>
      <c r="J81" t="str">
        <f>IF(Acrescentar1[[#This Row],[Historico]]="COMPRA",VLOOKUP(Acrescentar1[[#This Row],[Coluna1]],$P$2:$T$400,4,0),Acrescentar1[[#This Row],[Historico]])</f>
        <v>SEGURADORA</v>
      </c>
      <c r="P81" t="str">
        <f t="shared" si="1"/>
        <v>18:38</v>
      </c>
      <c r="Q81" s="4">
        <v>45627</v>
      </c>
      <c r="R81" s="5">
        <v>0.77638888888888891</v>
      </c>
      <c r="S81" s="2" t="s">
        <v>39</v>
      </c>
      <c r="T81" s="2" t="s">
        <v>40</v>
      </c>
    </row>
    <row r="82" spans="1:20" x14ac:dyDescent="0.3">
      <c r="A82">
        <v>1</v>
      </c>
      <c r="B82" s="1">
        <v>45649</v>
      </c>
      <c r="C82" s="1" t="str">
        <f>VLOOKUP(MONTH(Acrescentar1[[#This Row],[Data_Mov]]),$X$1:$Y$13,2,0)</f>
        <v>Dezembro</v>
      </c>
      <c r="D82" s="31">
        <f>YEAR(Acrescentar1[[#This Row],[Data_Mov]])</f>
        <v>2024</v>
      </c>
      <c r="E82">
        <v>230722</v>
      </c>
      <c r="F82" t="s">
        <v>15</v>
      </c>
      <c r="G82">
        <v>4490</v>
      </c>
      <c r="H82" t="s">
        <v>13</v>
      </c>
      <c r="I82" s="9" t="str">
        <f>LEFT(RIGHT(Acrescentar1[[#This Row],[Nr_Doc]],4 ),2) &amp; ":" &amp; RIGHT(Acrescentar1[[#This Row],[Nr_Doc]],2)</f>
        <v>07:22</v>
      </c>
      <c r="J82" t="str">
        <f>IF(Acrescentar1[[#This Row],[Historico]]="COMPRA",VLOOKUP(Acrescentar1[[#This Row],[Coluna1]],$P$2:$T$400,4,0),Acrescentar1[[#This Row],[Historico]])</f>
        <v>NETFLIX.COM</v>
      </c>
      <c r="P82" t="str">
        <f t="shared" si="1"/>
        <v>18:59</v>
      </c>
      <c r="Q82" s="4">
        <v>45627</v>
      </c>
      <c r="R82" s="5">
        <v>0.7909722222222223</v>
      </c>
      <c r="S82" s="2" t="s">
        <v>41</v>
      </c>
      <c r="T82" s="2" t="s">
        <v>42</v>
      </c>
    </row>
    <row r="83" spans="1:20" x14ac:dyDescent="0.3">
      <c r="A83">
        <v>1</v>
      </c>
      <c r="B83" s="1">
        <v>45649</v>
      </c>
      <c r="C83" s="1" t="str">
        <f>VLOOKUP(MONTH(Acrescentar1[[#This Row],[Data_Mov]]),$X$1:$Y$13,2,0)</f>
        <v>Dezembro</v>
      </c>
      <c r="D83" s="31">
        <f>YEAR(Acrescentar1[[#This Row],[Data_Mov]])</f>
        <v>2024</v>
      </c>
      <c r="E83">
        <v>231028</v>
      </c>
      <c r="F83" t="s">
        <v>19</v>
      </c>
      <c r="G83">
        <v>2800</v>
      </c>
      <c r="H83" t="s">
        <v>13</v>
      </c>
      <c r="I83" s="9" t="str">
        <f>LEFT(RIGHT(Acrescentar1[[#This Row],[Nr_Doc]],4 ),2) &amp; ":" &amp; RIGHT(Acrescentar1[[#This Row],[Nr_Doc]],2)</f>
        <v>10:28</v>
      </c>
      <c r="J83" t="str">
        <f>IF(Acrescentar1[[#This Row],[Historico]]="COMPRA",VLOOKUP(Acrescentar1[[#This Row],[Coluna1]],$P$2:$T$400,4,0),Acrescentar1[[#This Row],[Historico]])</f>
        <v>ENVIO PIX</v>
      </c>
      <c r="P83" t="str">
        <f t="shared" si="1"/>
        <v>19:37</v>
      </c>
      <c r="Q83" s="4">
        <v>45627</v>
      </c>
      <c r="R83" s="5">
        <v>0.81736111111111109</v>
      </c>
      <c r="S83" s="2" t="s">
        <v>43</v>
      </c>
      <c r="T83" s="2" t="s">
        <v>44</v>
      </c>
    </row>
    <row r="84" spans="1:20" x14ac:dyDescent="0.3">
      <c r="A84">
        <v>1</v>
      </c>
      <c r="B84" s="1">
        <v>45649</v>
      </c>
      <c r="C84" s="1" t="str">
        <f>VLOOKUP(MONTH(Acrescentar1[[#This Row],[Data_Mov]]),$X$1:$Y$13,2,0)</f>
        <v>Dezembro</v>
      </c>
      <c r="D84" s="31">
        <f>YEAR(Acrescentar1[[#This Row],[Data_Mov]])</f>
        <v>2024</v>
      </c>
      <c r="E84">
        <v>231837</v>
      </c>
      <c r="F84" t="s">
        <v>29</v>
      </c>
      <c r="G84">
        <v>1600</v>
      </c>
      <c r="H84" t="s">
        <v>13</v>
      </c>
      <c r="I84" s="9" t="str">
        <f>LEFT(RIGHT(Acrescentar1[[#This Row],[Nr_Doc]],4 ),2) &amp; ":" &amp; RIGHT(Acrescentar1[[#This Row],[Nr_Doc]],2)</f>
        <v>18:37</v>
      </c>
      <c r="J84" t="str">
        <f>IF(Acrescentar1[[#This Row],[Historico]]="COMPRA",VLOOKUP(Acrescentar1[[#This Row],[Coluna1]],$P$2:$T$400,4,0),Acrescentar1[[#This Row],[Historico]])</f>
        <v>SAQUE BIOM</v>
      </c>
    </row>
    <row r="85" spans="1:20" x14ac:dyDescent="0.3">
      <c r="A85">
        <v>1</v>
      </c>
      <c r="B85" s="1">
        <v>45649</v>
      </c>
      <c r="C85" s="1" t="str">
        <f>VLOOKUP(MONTH(Acrescentar1[[#This Row],[Data_Mov]]),$X$1:$Y$13,2,0)</f>
        <v>Dezembro</v>
      </c>
      <c r="D85" s="31">
        <f>YEAR(Acrescentar1[[#This Row],[Data_Mov]])</f>
        <v>2024</v>
      </c>
      <c r="E85">
        <v>232254</v>
      </c>
      <c r="F85" t="s">
        <v>19</v>
      </c>
      <c r="G85">
        <v>4900</v>
      </c>
      <c r="H85" t="s">
        <v>13</v>
      </c>
      <c r="I85" s="9" t="str">
        <f>LEFT(RIGHT(Acrescentar1[[#This Row],[Nr_Doc]],4 ),2) &amp; ":" &amp; RIGHT(Acrescentar1[[#This Row],[Nr_Doc]],2)</f>
        <v>22:54</v>
      </c>
      <c r="J85" t="str">
        <f>IF(Acrescentar1[[#This Row],[Historico]]="COMPRA",VLOOKUP(Acrescentar1[[#This Row],[Coluna1]],$P$2:$T$400,4,0),Acrescentar1[[#This Row],[Historico]])</f>
        <v>ENVIO PIX</v>
      </c>
    </row>
    <row r="86" spans="1:20" x14ac:dyDescent="0.3">
      <c r="A86">
        <v>1</v>
      </c>
      <c r="B86" s="1">
        <v>45649</v>
      </c>
      <c r="C86" s="1" t="str">
        <f>VLOOKUP(MONTH(Acrescentar1[[#This Row],[Data_Mov]]),$X$1:$Y$13,2,0)</f>
        <v>Dezembro</v>
      </c>
      <c r="D86" s="31">
        <f>YEAR(Acrescentar1[[#This Row],[Data_Mov]])</f>
        <v>2024</v>
      </c>
      <c r="E86">
        <v>0</v>
      </c>
      <c r="F86" t="s">
        <v>18</v>
      </c>
      <c r="G86">
        <v>0</v>
      </c>
      <c r="H86" t="s">
        <v>13</v>
      </c>
      <c r="I86" s="9" t="str">
        <f>LEFT(RIGHT(Acrescentar1[[#This Row],[Nr_Doc]],4 ),2) &amp; ":" &amp; RIGHT(Acrescentar1[[#This Row],[Nr_Doc]],2)</f>
        <v>0:0</v>
      </c>
      <c r="J86" t="str">
        <f>IF(Acrescentar1[[#This Row],[Historico]]="COMPRA",VLOOKUP(Acrescentar1[[#This Row],[Coluna1]],$P$2:$T$400,4,0),Acrescentar1[[#This Row],[Historico]])</f>
        <v>SALDO DIA</v>
      </c>
    </row>
    <row r="87" spans="1:20" x14ac:dyDescent="0.3">
      <c r="A87">
        <v>1</v>
      </c>
      <c r="B87" s="1">
        <v>45650</v>
      </c>
      <c r="C87" s="1" t="str">
        <f>VLOOKUP(MONTH(Acrescentar1[[#This Row],[Data_Mov]]),$X$1:$Y$13,2,0)</f>
        <v>Dezembro</v>
      </c>
      <c r="D87" s="31">
        <f>YEAR(Acrescentar1[[#This Row],[Data_Mov]])</f>
        <v>2024</v>
      </c>
      <c r="E87">
        <v>240728</v>
      </c>
      <c r="F87" t="s">
        <v>25</v>
      </c>
      <c r="G87">
        <v>20000</v>
      </c>
      <c r="H87" t="s">
        <v>21</v>
      </c>
      <c r="I87" s="9" t="str">
        <f>LEFT(RIGHT(Acrescentar1[[#This Row],[Nr_Doc]],4 ),2) &amp; ":" &amp; RIGHT(Acrescentar1[[#This Row],[Nr_Doc]],2)</f>
        <v>07:28</v>
      </c>
      <c r="J87" t="str">
        <f>IF(Acrescentar1[[#This Row],[Historico]]="COMPRA",VLOOKUP(Acrescentar1[[#This Row],[Coluna1]],$P$2:$T$400,4,0),Acrescentar1[[#This Row],[Historico]])</f>
        <v>CR RG POUP</v>
      </c>
    </row>
    <row r="88" spans="1:20" x14ac:dyDescent="0.3">
      <c r="A88">
        <v>1</v>
      </c>
      <c r="B88" s="1">
        <v>45650</v>
      </c>
      <c r="C88" s="1" t="str">
        <f>VLOOKUP(MONTH(Acrescentar1[[#This Row],[Data_Mov]]),$X$1:$Y$13,2,0)</f>
        <v>Dezembro</v>
      </c>
      <c r="D88" s="31">
        <f>YEAR(Acrescentar1[[#This Row],[Data_Mov]])</f>
        <v>2024</v>
      </c>
      <c r="E88">
        <v>240734</v>
      </c>
      <c r="F88" t="s">
        <v>15</v>
      </c>
      <c r="G88">
        <v>1040</v>
      </c>
      <c r="H88" t="s">
        <v>13</v>
      </c>
      <c r="I88" s="9" t="str">
        <f>LEFT(RIGHT(Acrescentar1[[#This Row],[Nr_Doc]],4 ),2) &amp; ":" &amp; RIGHT(Acrescentar1[[#This Row],[Nr_Doc]],2)</f>
        <v>07:34</v>
      </c>
      <c r="J88" t="str">
        <f>IF(Acrescentar1[[#This Row],[Historico]]="COMPRA",VLOOKUP(Acrescentar1[[#This Row],[Coluna1]],$P$2:$T$400,4,0),Acrescentar1[[#This Row],[Historico]])</f>
        <v>MP*PADARIACRISTA</v>
      </c>
    </row>
    <row r="89" spans="1:20" x14ac:dyDescent="0.3">
      <c r="A89">
        <v>1</v>
      </c>
      <c r="B89" s="1">
        <v>45650</v>
      </c>
      <c r="C89" s="1" t="str">
        <f>VLOOKUP(MONTH(Acrescentar1[[#This Row],[Data_Mov]]),$X$1:$Y$13,2,0)</f>
        <v>Dezembro</v>
      </c>
      <c r="D89" s="31">
        <f>YEAR(Acrescentar1[[#This Row],[Data_Mov]])</f>
        <v>2024</v>
      </c>
      <c r="E89">
        <v>241145</v>
      </c>
      <c r="F89" t="s">
        <v>15</v>
      </c>
      <c r="G89">
        <v>5000</v>
      </c>
      <c r="H89" t="s">
        <v>13</v>
      </c>
      <c r="I89" s="9" t="str">
        <f>LEFT(RIGHT(Acrescentar1[[#This Row],[Nr_Doc]],4 ),2) &amp; ":" &amp; RIGHT(Acrescentar1[[#This Row],[Nr_Doc]],2)</f>
        <v>11:45</v>
      </c>
      <c r="J89" t="str">
        <f>IF(Acrescentar1[[#This Row],[Historico]]="COMPRA",VLOOKUP(Acrescentar1[[#This Row],[Coluna1]],$P$2:$T$400,4,0),Acrescentar1[[#This Row],[Historico]])</f>
        <v>PParada</v>
      </c>
    </row>
    <row r="90" spans="1:20" x14ac:dyDescent="0.3">
      <c r="A90">
        <v>1</v>
      </c>
      <c r="B90" s="1">
        <v>45650</v>
      </c>
      <c r="C90" s="1" t="str">
        <f>VLOOKUP(MONTH(Acrescentar1[[#This Row],[Data_Mov]]),$X$1:$Y$13,2,0)</f>
        <v>Dezembro</v>
      </c>
      <c r="D90" s="31">
        <f>YEAR(Acrescentar1[[#This Row],[Data_Mov]])</f>
        <v>2024</v>
      </c>
      <c r="E90">
        <v>0</v>
      </c>
      <c r="F90" t="s">
        <v>18</v>
      </c>
      <c r="G90">
        <v>0</v>
      </c>
      <c r="H90" t="s">
        <v>13</v>
      </c>
      <c r="I90" s="9" t="str">
        <f>LEFT(RIGHT(Acrescentar1[[#This Row],[Nr_Doc]],4 ),2) &amp; ":" &amp; RIGHT(Acrescentar1[[#This Row],[Nr_Doc]],2)</f>
        <v>0:0</v>
      </c>
      <c r="J90" t="str">
        <f>IF(Acrescentar1[[#This Row],[Historico]]="COMPRA",VLOOKUP(Acrescentar1[[#This Row],[Coluna1]],$P$2:$T$400,4,0),Acrescentar1[[#This Row],[Historico]])</f>
        <v>SALDO DIA</v>
      </c>
    </row>
    <row r="91" spans="1:20" x14ac:dyDescent="0.3">
      <c r="A91">
        <v>1</v>
      </c>
      <c r="B91" s="1">
        <v>45652</v>
      </c>
      <c r="C91" s="1" t="str">
        <f>VLOOKUP(MONTH(Acrescentar1[[#This Row],[Data_Mov]]),$X$1:$Y$13,2,0)</f>
        <v>Dezembro</v>
      </c>
      <c r="D91" s="31">
        <f>YEAR(Acrescentar1[[#This Row],[Data_Mov]])</f>
        <v>2024</v>
      </c>
      <c r="E91">
        <v>261802</v>
      </c>
      <c r="F91" t="s">
        <v>15</v>
      </c>
      <c r="G91">
        <v>5000</v>
      </c>
      <c r="H91" t="s">
        <v>13</v>
      </c>
      <c r="I91" s="9" t="str">
        <f>LEFT(RIGHT(Acrescentar1[[#This Row],[Nr_Doc]],4 ),2) &amp; ":" &amp; RIGHT(Acrescentar1[[#This Row],[Nr_Doc]],2)</f>
        <v>18:02</v>
      </c>
      <c r="J91" t="str">
        <f>IF(Acrescentar1[[#This Row],[Historico]]="COMPRA",VLOOKUP(Acrescentar1[[#This Row],[Coluna1]],$P$2:$T$400,4,0),Acrescentar1[[#This Row],[Historico]])</f>
        <v>PParada</v>
      </c>
    </row>
    <row r="92" spans="1:20" x14ac:dyDescent="0.3">
      <c r="A92">
        <v>1</v>
      </c>
      <c r="B92" s="1">
        <v>45652</v>
      </c>
      <c r="C92" s="1" t="str">
        <f>VLOOKUP(MONTH(Acrescentar1[[#This Row],[Data_Mov]]),$X$1:$Y$13,2,0)</f>
        <v>Dezembro</v>
      </c>
      <c r="D92" s="31">
        <f>YEAR(Acrescentar1[[#This Row],[Data_Mov]])</f>
        <v>2024</v>
      </c>
      <c r="E92">
        <v>0</v>
      </c>
      <c r="F92" t="s">
        <v>18</v>
      </c>
      <c r="G92">
        <v>0</v>
      </c>
      <c r="H92" t="s">
        <v>13</v>
      </c>
      <c r="I92" s="9" t="str">
        <f>LEFT(RIGHT(Acrescentar1[[#This Row],[Nr_Doc]],4 ),2) &amp; ":" &amp; RIGHT(Acrescentar1[[#This Row],[Nr_Doc]],2)</f>
        <v>0:0</v>
      </c>
      <c r="J92" t="str">
        <f>IF(Acrescentar1[[#This Row],[Historico]]="COMPRA",VLOOKUP(Acrescentar1[[#This Row],[Coluna1]],$P$2:$T$400,4,0),Acrescentar1[[#This Row],[Historico]])</f>
        <v>SALDO DIA</v>
      </c>
    </row>
    <row r="93" spans="1:20" x14ac:dyDescent="0.3">
      <c r="A93">
        <v>1</v>
      </c>
      <c r="B93" s="1">
        <v>45653</v>
      </c>
      <c r="C93" s="1" t="str">
        <f>VLOOKUP(MONTH(Acrescentar1[[#This Row],[Data_Mov]]),$X$1:$Y$13,2,0)</f>
        <v>Dezembro</v>
      </c>
      <c r="D93" s="31">
        <f>YEAR(Acrescentar1[[#This Row],[Data_Mov]])</f>
        <v>2024</v>
      </c>
      <c r="E93">
        <v>271735</v>
      </c>
      <c r="F93" t="s">
        <v>19</v>
      </c>
      <c r="G93">
        <v>2550</v>
      </c>
      <c r="H93" t="s">
        <v>13</v>
      </c>
      <c r="I93" s="9" t="str">
        <f>LEFT(RIGHT(Acrescentar1[[#This Row],[Nr_Doc]],4 ),2) &amp; ":" &amp; RIGHT(Acrescentar1[[#This Row],[Nr_Doc]],2)</f>
        <v>17:35</v>
      </c>
      <c r="J93" t="str">
        <f>IF(Acrescentar1[[#This Row],[Historico]]="COMPRA",VLOOKUP(Acrescentar1[[#This Row],[Coluna1]],$P$2:$T$400,4,0),Acrescentar1[[#This Row],[Historico]])</f>
        <v>ENVIO PIX</v>
      </c>
    </row>
    <row r="94" spans="1:20" x14ac:dyDescent="0.3">
      <c r="A94">
        <v>1</v>
      </c>
      <c r="B94" s="1">
        <v>45653</v>
      </c>
      <c r="C94" s="1" t="str">
        <f>VLOOKUP(MONTH(Acrescentar1[[#This Row],[Data_Mov]]),$X$1:$Y$13,2,0)</f>
        <v>Dezembro</v>
      </c>
      <c r="D94" s="31">
        <f>YEAR(Acrescentar1[[#This Row],[Data_Mov]])</f>
        <v>2024</v>
      </c>
      <c r="E94">
        <v>271736</v>
      </c>
      <c r="F94" t="s">
        <v>169</v>
      </c>
      <c r="G94">
        <v>500</v>
      </c>
      <c r="H94" t="s">
        <v>13</v>
      </c>
      <c r="I94" s="9" t="str">
        <f>LEFT(RIGHT(Acrescentar1[[#This Row],[Nr_Doc]],4 ),2) &amp; ":" &amp; RIGHT(Acrescentar1[[#This Row],[Nr_Doc]],2)</f>
        <v>17:36</v>
      </c>
      <c r="J94" t="str">
        <f>IF(Acrescentar1[[#This Row],[Historico]]="COMPRA",VLOOKUP(Acrescentar1[[#This Row],[Coluna1]],$P$2:$T$400,4,0),Acrescentar1[[#This Row],[Historico]])</f>
        <v>APP</v>
      </c>
    </row>
    <row r="95" spans="1:20" x14ac:dyDescent="0.3">
      <c r="A95">
        <v>1</v>
      </c>
      <c r="B95" s="1">
        <v>45653</v>
      </c>
      <c r="C95" s="1" t="str">
        <f>VLOOKUP(MONTH(Acrescentar1[[#This Row],[Data_Mov]]),$X$1:$Y$13,2,0)</f>
        <v>Dezembro</v>
      </c>
      <c r="D95" s="31">
        <f>YEAR(Acrescentar1[[#This Row],[Data_Mov]])</f>
        <v>2024</v>
      </c>
      <c r="E95">
        <v>271742</v>
      </c>
      <c r="F95" t="s">
        <v>15</v>
      </c>
      <c r="G95">
        <v>5000</v>
      </c>
      <c r="H95" t="s">
        <v>13</v>
      </c>
      <c r="I95" s="9" t="str">
        <f>LEFT(RIGHT(Acrescentar1[[#This Row],[Nr_Doc]],4 ),2) &amp; ":" &amp; RIGHT(Acrescentar1[[#This Row],[Nr_Doc]],2)</f>
        <v>17:42</v>
      </c>
      <c r="J95" t="str">
        <f>IF(Acrescentar1[[#This Row],[Historico]]="COMPRA",VLOOKUP(Acrescentar1[[#This Row],[Coluna1]],$P$2:$T$400,4,0),Acrescentar1[[#This Row],[Historico]])</f>
        <v>AutoPostoSygnus</v>
      </c>
    </row>
    <row r="96" spans="1:20" x14ac:dyDescent="0.3">
      <c r="A96">
        <v>1</v>
      </c>
      <c r="B96" s="1">
        <v>45653</v>
      </c>
      <c r="C96" s="1" t="str">
        <f>VLOOKUP(MONTH(Acrescentar1[[#This Row],[Data_Mov]]),$X$1:$Y$13,2,0)</f>
        <v>Dezembro</v>
      </c>
      <c r="D96" s="31">
        <f>YEAR(Acrescentar1[[#This Row],[Data_Mov]])</f>
        <v>2024</v>
      </c>
      <c r="E96">
        <v>0</v>
      </c>
      <c r="F96" t="s">
        <v>94</v>
      </c>
      <c r="G96">
        <v>56571</v>
      </c>
      <c r="H96" t="s">
        <v>21</v>
      </c>
      <c r="I96" s="9" t="str">
        <f>LEFT(RIGHT(Acrescentar1[[#This Row],[Nr_Doc]],4 ),2) &amp; ":" &amp; RIGHT(Acrescentar1[[#This Row],[Nr_Doc]],2)</f>
        <v>0:0</v>
      </c>
      <c r="J96" t="str">
        <f>IF(Acrescentar1[[#This Row],[Historico]]="COMPRA",VLOOKUP(Acrescentar1[[#This Row],[Coluna1]],$P$2:$T$400,4,0),Acrescentar1[[#This Row],[Historico]])</f>
        <v>SALARIO</v>
      </c>
    </row>
    <row r="97" spans="1:10" x14ac:dyDescent="0.3">
      <c r="A97">
        <v>1</v>
      </c>
      <c r="B97" s="1">
        <v>45653</v>
      </c>
      <c r="C97" s="1" t="str">
        <f>VLOOKUP(MONTH(Acrescentar1[[#This Row],[Data_Mov]]),$X$1:$Y$13,2,0)</f>
        <v>Dezembro</v>
      </c>
      <c r="D97" s="31">
        <f>YEAR(Acrescentar1[[#This Row],[Data_Mov]])</f>
        <v>2024</v>
      </c>
      <c r="E97">
        <v>0</v>
      </c>
      <c r="F97" t="s">
        <v>18</v>
      </c>
      <c r="G97">
        <v>0</v>
      </c>
      <c r="H97" t="s">
        <v>13</v>
      </c>
      <c r="I97" s="9" t="str">
        <f>LEFT(RIGHT(Acrescentar1[[#This Row],[Nr_Doc]],4 ),2) &amp; ":" &amp; RIGHT(Acrescentar1[[#This Row],[Nr_Doc]],2)</f>
        <v>0:0</v>
      </c>
      <c r="J97" t="str">
        <f>IF(Acrescentar1[[#This Row],[Historico]]="COMPRA",VLOOKUP(Acrescentar1[[#This Row],[Coluna1]],$P$2:$T$400,4,0),Acrescentar1[[#This Row],[Historico]])</f>
        <v>SALDO DIA</v>
      </c>
    </row>
    <row r="98" spans="1:10" x14ac:dyDescent="0.3">
      <c r="A98">
        <v>1</v>
      </c>
      <c r="B98" s="1">
        <v>45656</v>
      </c>
      <c r="C98" s="1" t="str">
        <f>VLOOKUP(MONTH(Acrescentar1[[#This Row],[Data_Mov]]),$X$1:$Y$13,2,0)</f>
        <v>Dezembro</v>
      </c>
      <c r="D98" s="31">
        <f>YEAR(Acrescentar1[[#This Row],[Data_Mov]])</f>
        <v>2024</v>
      </c>
      <c r="E98">
        <v>901836</v>
      </c>
      <c r="F98" t="s">
        <v>30</v>
      </c>
      <c r="G98">
        <v>5625</v>
      </c>
      <c r="H98" t="s">
        <v>13</v>
      </c>
      <c r="I98" s="9" t="str">
        <f>LEFT(RIGHT(Acrescentar1[[#This Row],[Nr_Doc]],4 ),2) &amp; ":" &amp; RIGHT(Acrescentar1[[#This Row],[Nr_Doc]],2)</f>
        <v>18:36</v>
      </c>
      <c r="J98" t="str">
        <f>IF(Acrescentar1[[#This Row],[Historico]]="COMPRA",VLOOKUP(Acrescentar1[[#This Row],[Coluna1]],$P$2:$T$400,4,0),Acrescentar1[[#This Row],[Historico]])</f>
        <v>DEB IRPF</v>
      </c>
    </row>
    <row r="99" spans="1:10" x14ac:dyDescent="0.3">
      <c r="A99">
        <v>1</v>
      </c>
      <c r="B99" s="1">
        <v>45656</v>
      </c>
      <c r="C99" s="1" t="str">
        <f>VLOOKUP(MONTH(Acrescentar1[[#This Row],[Data_Mov]]),$X$1:$Y$13,2,0)</f>
        <v>Dezembro</v>
      </c>
      <c r="D99" s="31">
        <f>YEAR(Acrescentar1[[#This Row],[Data_Mov]])</f>
        <v>2024</v>
      </c>
      <c r="E99">
        <v>282006</v>
      </c>
      <c r="F99" t="s">
        <v>19</v>
      </c>
      <c r="G99">
        <v>11800</v>
      </c>
      <c r="H99" t="s">
        <v>13</v>
      </c>
      <c r="I99" s="9" t="str">
        <f>LEFT(RIGHT(Acrescentar1[[#This Row],[Nr_Doc]],4 ),2) &amp; ":" &amp; RIGHT(Acrescentar1[[#This Row],[Nr_Doc]],2)</f>
        <v>20:06</v>
      </c>
      <c r="J99" t="str">
        <f>IF(Acrescentar1[[#This Row],[Historico]]="COMPRA",VLOOKUP(Acrescentar1[[#This Row],[Coluna1]],$P$2:$T$400,4,0),Acrescentar1[[#This Row],[Historico]])</f>
        <v>ENVIO PIX</v>
      </c>
    </row>
    <row r="100" spans="1:10" x14ac:dyDescent="0.3">
      <c r="A100">
        <v>1</v>
      </c>
      <c r="B100" s="1">
        <v>45656</v>
      </c>
      <c r="C100" s="1" t="str">
        <f>VLOOKUP(MONTH(Acrescentar1[[#This Row],[Data_Mov]]),$X$1:$Y$13,2,0)</f>
        <v>Dezembro</v>
      </c>
      <c r="D100" s="31">
        <f>YEAR(Acrescentar1[[#This Row],[Data_Mov]])</f>
        <v>2024</v>
      </c>
      <c r="E100">
        <v>291022</v>
      </c>
      <c r="F100" t="s">
        <v>15</v>
      </c>
      <c r="G100">
        <v>1000</v>
      </c>
      <c r="H100" t="s">
        <v>13</v>
      </c>
      <c r="I100" s="9" t="str">
        <f>LEFT(RIGHT(Acrescentar1[[#This Row],[Nr_Doc]],4 ),2) &amp; ":" &amp; RIGHT(Acrescentar1[[#This Row],[Nr_Doc]],2)</f>
        <v>10:22</v>
      </c>
      <c r="J100" t="str">
        <f>IF(Acrescentar1[[#This Row],[Historico]]="COMPRA",VLOOKUP(Acrescentar1[[#This Row],[Coluna1]],$P$2:$T$400,4,0),Acrescentar1[[#This Row],[Historico]])</f>
        <v>Comercialagro</v>
      </c>
    </row>
    <row r="101" spans="1:10" x14ac:dyDescent="0.3">
      <c r="A101">
        <v>1</v>
      </c>
      <c r="B101" s="1">
        <v>45656</v>
      </c>
      <c r="C101" s="1" t="str">
        <f>VLOOKUP(MONTH(Acrescentar1[[#This Row],[Data_Mov]]),$X$1:$Y$13,2,0)</f>
        <v>Dezembro</v>
      </c>
      <c r="D101" s="31">
        <f>YEAR(Acrescentar1[[#This Row],[Data_Mov]])</f>
        <v>2024</v>
      </c>
      <c r="E101">
        <v>291159</v>
      </c>
      <c r="F101" t="s">
        <v>15</v>
      </c>
      <c r="G101">
        <v>6651</v>
      </c>
      <c r="H101" t="s">
        <v>13</v>
      </c>
      <c r="I101" s="9" t="str">
        <f>LEFT(RIGHT(Acrescentar1[[#This Row],[Nr_Doc]],4 ),2) &amp; ":" &amp; RIGHT(Acrescentar1[[#This Row],[Nr_Doc]],2)</f>
        <v>11:59</v>
      </c>
      <c r="J101" t="str">
        <f>IF(Acrescentar1[[#This Row],[Historico]]="COMPRA",VLOOKUP(Acrescentar1[[#This Row],[Coluna1]],$P$2:$T$400,4,0),Acrescentar1[[#This Row],[Historico]])</f>
        <v>PigBom</v>
      </c>
    </row>
    <row r="102" spans="1:10" x14ac:dyDescent="0.3">
      <c r="A102">
        <v>1</v>
      </c>
      <c r="B102" s="1">
        <v>45656</v>
      </c>
      <c r="C102" s="1" t="str">
        <f>VLOOKUP(MONTH(Acrescentar1[[#This Row],[Data_Mov]]),$X$1:$Y$13,2,0)</f>
        <v>Dezembro</v>
      </c>
      <c r="D102" s="31">
        <f>YEAR(Acrescentar1[[#This Row],[Data_Mov]])</f>
        <v>2024</v>
      </c>
      <c r="E102">
        <v>373520</v>
      </c>
      <c r="F102" t="s">
        <v>31</v>
      </c>
      <c r="G102">
        <v>7217</v>
      </c>
      <c r="H102" t="s">
        <v>13</v>
      </c>
      <c r="I102" s="9" t="str">
        <f>LEFT(RIGHT(Acrescentar1[[#This Row],[Nr_Doc]],4 ),2) &amp; ":" &amp; RIGHT(Acrescentar1[[#This Row],[Nr_Doc]],2)</f>
        <v>35:20</v>
      </c>
      <c r="J102" t="str">
        <f>IF(Acrescentar1[[#This Row],[Historico]]="COMPRA",VLOOKUP(Acrescentar1[[#This Row],[Coluna1]],$P$2:$T$400,4,0),Acrescentar1[[#This Row],[Historico]])</f>
        <v>SEG RESID</v>
      </c>
    </row>
    <row r="103" spans="1:10" x14ac:dyDescent="0.3">
      <c r="A103">
        <v>1</v>
      </c>
      <c r="B103" s="1">
        <v>45656</v>
      </c>
      <c r="C103" s="1" t="str">
        <f>VLOOKUP(MONTH(Acrescentar1[[#This Row],[Data_Mov]]),$X$1:$Y$13,2,0)</f>
        <v>Dezembro</v>
      </c>
      <c r="D103" s="31">
        <f>YEAR(Acrescentar1[[#This Row],[Data_Mov]])</f>
        <v>2024</v>
      </c>
      <c r="E103">
        <v>300938</v>
      </c>
      <c r="F103" t="s">
        <v>19</v>
      </c>
      <c r="G103">
        <v>2500</v>
      </c>
      <c r="H103" t="s">
        <v>13</v>
      </c>
      <c r="I103" s="9" t="str">
        <f>LEFT(RIGHT(Acrescentar1[[#This Row],[Nr_Doc]],4 ),2) &amp; ":" &amp; RIGHT(Acrescentar1[[#This Row],[Nr_Doc]],2)</f>
        <v>09:38</v>
      </c>
      <c r="J103" t="str">
        <f>IF(Acrescentar1[[#This Row],[Historico]]="COMPRA",VLOOKUP(Acrescentar1[[#This Row],[Coluna1]],$P$2:$T$400,4,0),Acrescentar1[[#This Row],[Historico]])</f>
        <v>ENVIO PIX</v>
      </c>
    </row>
    <row r="104" spans="1:10" x14ac:dyDescent="0.3">
      <c r="A104">
        <v>1</v>
      </c>
      <c r="B104" s="1">
        <v>45656</v>
      </c>
      <c r="C104" s="1" t="str">
        <f>VLOOKUP(MONTH(Acrescentar1[[#This Row],[Data_Mov]]),$X$1:$Y$13,2,0)</f>
        <v>Dezembro</v>
      </c>
      <c r="D104" s="31">
        <f>YEAR(Acrescentar1[[#This Row],[Data_Mov]])</f>
        <v>2024</v>
      </c>
      <c r="E104">
        <v>301458</v>
      </c>
      <c r="F104" t="s">
        <v>169</v>
      </c>
      <c r="G104">
        <v>1000</v>
      </c>
      <c r="H104" t="s">
        <v>13</v>
      </c>
      <c r="I104" s="9" t="str">
        <f>LEFT(RIGHT(Acrescentar1[[#This Row],[Nr_Doc]],4 ),2) &amp; ":" &amp; RIGHT(Acrescentar1[[#This Row],[Nr_Doc]],2)</f>
        <v>14:58</v>
      </c>
      <c r="J104" t="str">
        <f>IF(Acrescentar1[[#This Row],[Historico]]="COMPRA",VLOOKUP(Acrescentar1[[#This Row],[Coluna1]],$P$2:$T$400,4,0),Acrescentar1[[#This Row],[Historico]])</f>
        <v>APP</v>
      </c>
    </row>
    <row r="105" spans="1:10" x14ac:dyDescent="0.3">
      <c r="A105">
        <v>1</v>
      </c>
      <c r="B105" s="1">
        <v>45656</v>
      </c>
      <c r="C105" s="1" t="str">
        <f>VLOOKUP(MONTH(Acrescentar1[[#This Row],[Data_Mov]]),$X$1:$Y$13,2,0)</f>
        <v>Dezembro</v>
      </c>
      <c r="D105" s="31">
        <f>YEAR(Acrescentar1[[#This Row],[Data_Mov]])</f>
        <v>2024</v>
      </c>
      <c r="E105">
        <v>301459</v>
      </c>
      <c r="F105" t="s">
        <v>169</v>
      </c>
      <c r="G105">
        <v>1000</v>
      </c>
      <c r="H105" t="s">
        <v>13</v>
      </c>
      <c r="I105" s="9" t="str">
        <f>LEFT(RIGHT(Acrescentar1[[#This Row],[Nr_Doc]],4 ),2) &amp; ":" &amp; RIGHT(Acrescentar1[[#This Row],[Nr_Doc]],2)</f>
        <v>14:59</v>
      </c>
      <c r="J105" t="str">
        <f>IF(Acrescentar1[[#This Row],[Historico]]="COMPRA",VLOOKUP(Acrescentar1[[#This Row],[Coluna1]],$P$2:$T$400,4,0),Acrescentar1[[#This Row],[Historico]])</f>
        <v>APP</v>
      </c>
    </row>
    <row r="106" spans="1:10" x14ac:dyDescent="0.3">
      <c r="A106">
        <v>1</v>
      </c>
      <c r="B106" s="1">
        <v>45656</v>
      </c>
      <c r="C106" s="1" t="str">
        <f>VLOOKUP(MONTH(Acrescentar1[[#This Row],[Data_Mov]]),$X$1:$Y$13,2,0)</f>
        <v>Dezembro</v>
      </c>
      <c r="D106" s="31">
        <f>YEAR(Acrescentar1[[#This Row],[Data_Mov]])</f>
        <v>2024</v>
      </c>
      <c r="E106">
        <v>301651</v>
      </c>
      <c r="F106" t="s">
        <v>19</v>
      </c>
      <c r="G106">
        <v>18000</v>
      </c>
      <c r="H106" t="s">
        <v>13</v>
      </c>
      <c r="I106" s="9" t="str">
        <f>LEFT(RIGHT(Acrescentar1[[#This Row],[Nr_Doc]],4 ),2) &amp; ":" &amp; RIGHT(Acrescentar1[[#This Row],[Nr_Doc]],2)</f>
        <v>16:51</v>
      </c>
      <c r="J106" t="str">
        <f>IF(Acrescentar1[[#This Row],[Historico]]="COMPRA",VLOOKUP(Acrescentar1[[#This Row],[Coluna1]],$P$2:$T$400,4,0),Acrescentar1[[#This Row],[Historico]])</f>
        <v>ENVIO PIX</v>
      </c>
    </row>
    <row r="107" spans="1:10" x14ac:dyDescent="0.3">
      <c r="A107">
        <v>1</v>
      </c>
      <c r="B107" s="1">
        <v>45656</v>
      </c>
      <c r="C107" s="1" t="str">
        <f>VLOOKUP(MONTH(Acrescentar1[[#This Row],[Data_Mov]]),$X$1:$Y$13,2,0)</f>
        <v>Dezembro</v>
      </c>
      <c r="D107" s="31">
        <f>YEAR(Acrescentar1[[#This Row],[Data_Mov]])</f>
        <v>2024</v>
      </c>
      <c r="E107">
        <v>301728</v>
      </c>
      <c r="F107" t="s">
        <v>15</v>
      </c>
      <c r="G107">
        <v>10000</v>
      </c>
      <c r="H107" t="s">
        <v>13</v>
      </c>
      <c r="I107" s="9" t="str">
        <f>LEFT(RIGHT(Acrescentar1[[#This Row],[Nr_Doc]],4 ),2) &amp; ":" &amp; RIGHT(Acrescentar1[[#This Row],[Nr_Doc]],2)</f>
        <v>17:28</v>
      </c>
      <c r="J107" t="str">
        <f>IF(Acrescentar1[[#This Row],[Historico]]="COMPRA",VLOOKUP(Acrescentar1[[#This Row],[Coluna1]],$P$2:$T$400,4,0),Acrescentar1[[#This Row],[Historico]])</f>
        <v>AutoPostoSygnus</v>
      </c>
    </row>
    <row r="108" spans="1:10" x14ac:dyDescent="0.3">
      <c r="A108">
        <v>1</v>
      </c>
      <c r="B108" s="1">
        <v>45656</v>
      </c>
      <c r="C108" s="1" t="str">
        <f>VLOOKUP(MONTH(Acrescentar1[[#This Row],[Data_Mov]]),$X$1:$Y$13,2,0)</f>
        <v>Dezembro</v>
      </c>
      <c r="D108" s="31">
        <f>YEAR(Acrescentar1[[#This Row],[Data_Mov]])</f>
        <v>2024</v>
      </c>
      <c r="E108">
        <v>0</v>
      </c>
      <c r="F108" t="s">
        <v>18</v>
      </c>
      <c r="G108">
        <v>0</v>
      </c>
      <c r="H108" t="s">
        <v>13</v>
      </c>
      <c r="I108" s="9" t="str">
        <f>LEFT(RIGHT(Acrescentar1[[#This Row],[Nr_Doc]],4 ),2) &amp; ":" &amp; RIGHT(Acrescentar1[[#This Row],[Nr_Doc]],2)</f>
        <v>0:0</v>
      </c>
      <c r="J108" t="str">
        <f>IF(Acrescentar1[[#This Row],[Historico]]="COMPRA",VLOOKUP(Acrescentar1[[#This Row],[Coluna1]],$P$2:$T$400,4,0),Acrescentar1[[#This Row],[Historico]])</f>
        <v>SALDO DIA</v>
      </c>
    </row>
    <row r="109" spans="1:10" x14ac:dyDescent="0.3">
      <c r="A109">
        <v>1</v>
      </c>
      <c r="B109" s="1">
        <v>45657</v>
      </c>
      <c r="C109" s="1" t="str">
        <f>VLOOKUP(MONTH(Acrescentar1[[#This Row],[Data_Mov]]),$X$1:$Y$13,2,0)</f>
        <v>Dezembro</v>
      </c>
      <c r="D109" s="31">
        <f>YEAR(Acrescentar1[[#This Row],[Data_Mov]])</f>
        <v>2024</v>
      </c>
      <c r="E109">
        <v>0</v>
      </c>
      <c r="F109" t="s">
        <v>18</v>
      </c>
      <c r="G109">
        <v>0</v>
      </c>
      <c r="H109" t="s">
        <v>13</v>
      </c>
      <c r="I109" s="9" t="str">
        <f>LEFT(RIGHT(Acrescentar1[[#This Row],[Nr_Doc]],4 ),2) &amp; ":" &amp; RIGHT(Acrescentar1[[#This Row],[Nr_Doc]],2)</f>
        <v>0:0</v>
      </c>
      <c r="J109" t="str">
        <f>IF(Acrescentar1[[#This Row],[Historico]]="COMPRA",VLOOKUP(Acrescentar1[[#This Row],[Coluna1]],$P$2:$T$400,4,0),Acrescentar1[[#This Row],[Historico]])</f>
        <v>SALDO DIA</v>
      </c>
    </row>
    <row r="110" spans="1:10" x14ac:dyDescent="0.3">
      <c r="A110">
        <v>1</v>
      </c>
      <c r="B110" s="1">
        <v>45659</v>
      </c>
      <c r="C110" s="1" t="str">
        <f>VLOOKUP(MONTH(Acrescentar1[[#This Row],[Data_Mov]]),$X$1:$Y$13,2,0)</f>
        <v>Janeiro</v>
      </c>
      <c r="D110" s="31">
        <f>YEAR(Acrescentar1[[#This Row],[Data_Mov]])</f>
        <v>2025</v>
      </c>
      <c r="E110">
        <v>20846</v>
      </c>
      <c r="F110" t="s">
        <v>25</v>
      </c>
      <c r="G110">
        <v>40000</v>
      </c>
      <c r="H110" t="s">
        <v>21</v>
      </c>
      <c r="I110" s="9" t="str">
        <f>LEFT(RIGHT(Acrescentar1[[#This Row],[Nr_Doc]],4 ),2) &amp; ":" &amp; RIGHT(Acrescentar1[[#This Row],[Nr_Doc]],2)</f>
        <v>08:46</v>
      </c>
      <c r="J110" t="str">
        <f>IF(Acrescentar1[[#This Row],[Historico]]="COMPRA",VLOOKUP(Acrescentar1[[#This Row],[Coluna1]],$P$2:$T$400,4,0),Acrescentar1[[#This Row],[Historico]])</f>
        <v>CR RG POUP</v>
      </c>
    </row>
    <row r="111" spans="1:10" x14ac:dyDescent="0.3">
      <c r="A111">
        <v>1</v>
      </c>
      <c r="B111" s="1">
        <v>45659</v>
      </c>
      <c r="C111" s="1" t="str">
        <f>VLOOKUP(MONTH(Acrescentar1[[#This Row],[Data_Mov]]),$X$1:$Y$13,2,0)</f>
        <v>Janeiro</v>
      </c>
      <c r="D111" s="31">
        <f>YEAR(Acrescentar1[[#This Row],[Data_Mov]])</f>
        <v>2025</v>
      </c>
      <c r="E111">
        <v>21006</v>
      </c>
      <c r="F111" t="s">
        <v>19</v>
      </c>
      <c r="G111">
        <v>2800</v>
      </c>
      <c r="H111" t="s">
        <v>13</v>
      </c>
      <c r="I111" s="9" t="str">
        <f>LEFT(RIGHT(Acrescentar1[[#This Row],[Nr_Doc]],4 ),2) &amp; ":" &amp; RIGHT(Acrescentar1[[#This Row],[Nr_Doc]],2)</f>
        <v>10:06</v>
      </c>
      <c r="J111" t="str">
        <f>IF(Acrescentar1[[#This Row],[Historico]]="COMPRA",VLOOKUP(Acrescentar1[[#This Row],[Coluna1]],$P$2:$T$400,4,0),Acrescentar1[[#This Row],[Historico]])</f>
        <v>ENVIO PIX</v>
      </c>
    </row>
    <row r="112" spans="1:10" x14ac:dyDescent="0.3">
      <c r="A112">
        <v>1</v>
      </c>
      <c r="B112" s="1">
        <v>45659</v>
      </c>
      <c r="C112" s="1" t="str">
        <f>VLOOKUP(MONTH(Acrescentar1[[#This Row],[Data_Mov]]),$X$1:$Y$13,2,0)</f>
        <v>Janeiro</v>
      </c>
      <c r="D112" s="31">
        <f>YEAR(Acrescentar1[[#This Row],[Data_Mov]])</f>
        <v>2025</v>
      </c>
      <c r="E112">
        <v>350600</v>
      </c>
      <c r="F112" t="s">
        <v>32</v>
      </c>
      <c r="G112">
        <v>7500</v>
      </c>
      <c r="H112" t="s">
        <v>21</v>
      </c>
      <c r="I112" s="9" t="str">
        <f>LEFT(RIGHT(Acrescentar1[[#This Row],[Nr_Doc]],4 ),2) &amp; ":" &amp; RIGHT(Acrescentar1[[#This Row],[Nr_Doc]],2)</f>
        <v>06:00</v>
      </c>
      <c r="J112" t="str">
        <f>IF(Acrescentar1[[#This Row],[Historico]]="COMPRA",VLOOKUP(Acrescentar1[[#This Row],[Coluna1]],$P$2:$T$400,4,0),Acrescentar1[[#This Row],[Historico]])</f>
        <v>DEP DIN AG</v>
      </c>
    </row>
    <row r="113" spans="1:10" x14ac:dyDescent="0.3">
      <c r="A113">
        <v>1</v>
      </c>
      <c r="B113" s="1">
        <v>45659</v>
      </c>
      <c r="C113" s="1" t="str">
        <f>VLOOKUP(MONTH(Acrescentar1[[#This Row],[Data_Mov]]),$X$1:$Y$13,2,0)</f>
        <v>Janeiro</v>
      </c>
      <c r="D113" s="31">
        <f>YEAR(Acrescentar1[[#This Row],[Data_Mov]])</f>
        <v>2025</v>
      </c>
      <c r="E113">
        <v>0</v>
      </c>
      <c r="F113" t="s">
        <v>16</v>
      </c>
      <c r="G113">
        <v>1083</v>
      </c>
      <c r="H113" t="s">
        <v>13</v>
      </c>
      <c r="I113" s="9" t="str">
        <f>LEFT(RIGHT(Acrescentar1[[#This Row],[Nr_Doc]],4 ),2) &amp; ":" &amp; RIGHT(Acrescentar1[[#This Row],[Nr_Doc]],2)</f>
        <v>0:0</v>
      </c>
      <c r="J113" t="str">
        <f>IF(Acrescentar1[[#This Row],[Historico]]="COMPRA",VLOOKUP(Acrescentar1[[#This Row],[Coluna1]],$P$2:$T$400,4,0),Acrescentar1[[#This Row],[Historico]])</f>
        <v>DEB IOF</v>
      </c>
    </row>
    <row r="114" spans="1:10" x14ac:dyDescent="0.3">
      <c r="A114">
        <v>1</v>
      </c>
      <c r="B114" s="1">
        <v>45659</v>
      </c>
      <c r="C114" s="1" t="str">
        <f>VLOOKUP(MONTH(Acrescentar1[[#This Row],[Data_Mov]]),$X$1:$Y$13,2,0)</f>
        <v>Janeiro</v>
      </c>
      <c r="D114" s="31">
        <f>YEAR(Acrescentar1[[#This Row],[Data_Mov]])</f>
        <v>2025</v>
      </c>
      <c r="E114">
        <v>0</v>
      </c>
      <c r="F114" t="s">
        <v>17</v>
      </c>
      <c r="G114">
        <v>3122</v>
      </c>
      <c r="H114" t="s">
        <v>13</v>
      </c>
      <c r="I114" s="9" t="str">
        <f>LEFT(RIGHT(Acrescentar1[[#This Row],[Nr_Doc]],4 ),2) &amp; ":" &amp; RIGHT(Acrescentar1[[#This Row],[Nr_Doc]],2)</f>
        <v>0:0</v>
      </c>
      <c r="J114" t="str">
        <f>IF(Acrescentar1[[#This Row],[Historico]]="COMPRA",VLOOKUP(Acrescentar1[[#This Row],[Coluna1]],$P$2:$T$400,4,0),Acrescentar1[[#This Row],[Historico]])</f>
        <v>DEB JUROS</v>
      </c>
    </row>
    <row r="115" spans="1:10" x14ac:dyDescent="0.3">
      <c r="A115">
        <v>1</v>
      </c>
      <c r="B115" s="1">
        <v>45659</v>
      </c>
      <c r="C115" s="1" t="str">
        <f>VLOOKUP(MONTH(Acrescentar1[[#This Row],[Data_Mov]]),$X$1:$Y$13,2,0)</f>
        <v>Janeiro</v>
      </c>
      <c r="D115" s="31">
        <f>YEAR(Acrescentar1[[#This Row],[Data_Mov]])</f>
        <v>2025</v>
      </c>
      <c r="E115">
        <v>0</v>
      </c>
      <c r="F115" t="s">
        <v>18</v>
      </c>
      <c r="G115">
        <v>0</v>
      </c>
      <c r="H115" t="s">
        <v>13</v>
      </c>
      <c r="I115" s="9" t="str">
        <f>LEFT(RIGHT(Acrescentar1[[#This Row],[Nr_Doc]],4 ),2) &amp; ":" &amp; RIGHT(Acrescentar1[[#This Row],[Nr_Doc]],2)</f>
        <v>0:0</v>
      </c>
      <c r="J115" t="str">
        <f>IF(Acrescentar1[[#This Row],[Historico]]="COMPRA",VLOOKUP(Acrescentar1[[#This Row],[Coluna1]],$P$2:$T$400,4,0),Acrescentar1[[#This Row],[Historico]])</f>
        <v>SALDO DIA</v>
      </c>
    </row>
    <row r="116" spans="1:10" x14ac:dyDescent="0.3">
      <c r="A116">
        <v>1</v>
      </c>
      <c r="B116" s="1">
        <v>45597</v>
      </c>
      <c r="C116" s="1" t="str">
        <f>VLOOKUP(MONTH(Acrescentar1[[#This Row],[Data_Mov]]),$X$1:$Y$13,2,0)</f>
        <v>Novembro</v>
      </c>
      <c r="D116" s="31">
        <f>YEAR(Acrescentar1[[#This Row],[Data_Mov]])</f>
        <v>2024</v>
      </c>
      <c r="E116">
        <v>11307</v>
      </c>
      <c r="F116" t="s">
        <v>20</v>
      </c>
      <c r="G116">
        <v>17000</v>
      </c>
      <c r="H116" t="s">
        <v>21</v>
      </c>
      <c r="I116" s="9" t="str">
        <f>LEFT(RIGHT(Acrescentar1[[#This Row],[Nr_Doc]],4 ),2) &amp; ":" &amp; RIGHT(Acrescentar1[[#This Row],[Nr_Doc]],2)</f>
        <v>13:07</v>
      </c>
      <c r="J116" t="str">
        <f>IF(Acrescentar1[[#This Row],[Historico]]="COMPRA",VLOOKUP(Acrescentar1[[#This Row],[Coluna1]],$P$2:$T$400,4,0),Acrescentar1[[#This Row],[Historico]])</f>
        <v>CRED PIX</v>
      </c>
    </row>
    <row r="117" spans="1:10" x14ac:dyDescent="0.3">
      <c r="A117">
        <v>1</v>
      </c>
      <c r="B117" s="1">
        <v>45597</v>
      </c>
      <c r="C117" s="1" t="str">
        <f>VLOOKUP(MONTH(Acrescentar1[[#This Row],[Data_Mov]]),$X$1:$Y$13,2,0)</f>
        <v>Novembro</v>
      </c>
      <c r="D117" s="31">
        <f>YEAR(Acrescentar1[[#This Row],[Data_Mov]])</f>
        <v>2024</v>
      </c>
      <c r="E117">
        <v>0</v>
      </c>
      <c r="F117" t="s">
        <v>16</v>
      </c>
      <c r="G117">
        <v>677</v>
      </c>
      <c r="H117" t="s">
        <v>13</v>
      </c>
      <c r="I117" s="9" t="str">
        <f>LEFT(RIGHT(Acrescentar1[[#This Row],[Nr_Doc]],4 ),2) &amp; ":" &amp; RIGHT(Acrescentar1[[#This Row],[Nr_Doc]],2)</f>
        <v>0:0</v>
      </c>
      <c r="J117" t="str">
        <f>IF(Acrescentar1[[#This Row],[Historico]]="COMPRA",VLOOKUP(Acrescentar1[[#This Row],[Coluna1]],$P$2:$T$400,4,0),Acrescentar1[[#This Row],[Historico]])</f>
        <v>DEB IOF</v>
      </c>
    </row>
    <row r="118" spans="1:10" x14ac:dyDescent="0.3">
      <c r="A118">
        <v>1</v>
      </c>
      <c r="B118" s="1">
        <v>45597</v>
      </c>
      <c r="C118" s="1" t="str">
        <f>VLOOKUP(MONTH(Acrescentar1[[#This Row],[Data_Mov]]),$X$1:$Y$13,2,0)</f>
        <v>Novembro</v>
      </c>
      <c r="D118" s="31">
        <f>YEAR(Acrescentar1[[#This Row],[Data_Mov]])</f>
        <v>2024</v>
      </c>
      <c r="E118">
        <v>0</v>
      </c>
      <c r="F118" t="s">
        <v>17</v>
      </c>
      <c r="G118">
        <v>5212</v>
      </c>
      <c r="H118" t="s">
        <v>13</v>
      </c>
      <c r="I118" s="9" t="str">
        <f>LEFT(RIGHT(Acrescentar1[[#This Row],[Nr_Doc]],4 ),2) &amp; ":" &amp; RIGHT(Acrescentar1[[#This Row],[Nr_Doc]],2)</f>
        <v>0:0</v>
      </c>
      <c r="J118" t="str">
        <f>IF(Acrescentar1[[#This Row],[Historico]]="COMPRA",VLOOKUP(Acrescentar1[[#This Row],[Coluna1]],$P$2:$T$400,4,0),Acrescentar1[[#This Row],[Historico]])</f>
        <v>DEB JUROS</v>
      </c>
    </row>
    <row r="119" spans="1:10" x14ac:dyDescent="0.3">
      <c r="A119">
        <v>1</v>
      </c>
      <c r="B119" s="1">
        <v>45597</v>
      </c>
      <c r="C119" s="1" t="str">
        <f>VLOOKUP(MONTH(Acrescentar1[[#This Row],[Data_Mov]]),$X$1:$Y$13,2,0)</f>
        <v>Novembro</v>
      </c>
      <c r="D119" s="31">
        <f>YEAR(Acrescentar1[[#This Row],[Data_Mov]])</f>
        <v>2024</v>
      </c>
      <c r="E119">
        <v>0</v>
      </c>
      <c r="F119" t="s">
        <v>18</v>
      </c>
      <c r="G119">
        <v>0</v>
      </c>
      <c r="H119" t="s">
        <v>13</v>
      </c>
      <c r="I119" s="9" t="str">
        <f>LEFT(RIGHT(Acrescentar1[[#This Row],[Nr_Doc]],4 ),2) &amp; ":" &amp; RIGHT(Acrescentar1[[#This Row],[Nr_Doc]],2)</f>
        <v>0:0</v>
      </c>
      <c r="J119" t="str">
        <f>IF(Acrescentar1[[#This Row],[Historico]]="COMPRA",VLOOKUP(Acrescentar1[[#This Row],[Coluna1]],$P$2:$T$400,4,0),Acrescentar1[[#This Row],[Historico]])</f>
        <v>SALDO DIA</v>
      </c>
    </row>
    <row r="120" spans="1:10" x14ac:dyDescent="0.3">
      <c r="A120">
        <v>1</v>
      </c>
      <c r="B120" s="1">
        <v>45600</v>
      </c>
      <c r="C120" s="1" t="str">
        <f>VLOOKUP(MONTH(Acrescentar1[[#This Row],[Data_Mov]]),$X$1:$Y$13,2,0)</f>
        <v>Novembro</v>
      </c>
      <c r="D120" s="31">
        <f>YEAR(Acrescentar1[[#This Row],[Data_Mov]])</f>
        <v>2024</v>
      </c>
      <c r="E120">
        <v>21442</v>
      </c>
      <c r="F120" t="s">
        <v>19</v>
      </c>
      <c r="G120">
        <v>8500</v>
      </c>
      <c r="H120" t="s">
        <v>13</v>
      </c>
      <c r="I120" s="9" t="str">
        <f>LEFT(RIGHT(Acrescentar1[[#This Row],[Nr_Doc]],4 ),2) &amp; ":" &amp; RIGHT(Acrescentar1[[#This Row],[Nr_Doc]],2)</f>
        <v>14:42</v>
      </c>
      <c r="J120" t="str">
        <f>IF(Acrescentar1[[#This Row],[Historico]]="COMPRA",VLOOKUP(Acrescentar1[[#This Row],[Coluna1]],$P$2:$T$400,4,0),Acrescentar1[[#This Row],[Historico]])</f>
        <v>ENVIO PIX</v>
      </c>
    </row>
    <row r="121" spans="1:10" x14ac:dyDescent="0.3">
      <c r="A121">
        <v>1</v>
      </c>
      <c r="B121" s="1">
        <v>45600</v>
      </c>
      <c r="C121" s="1" t="str">
        <f>VLOOKUP(MONTH(Acrescentar1[[#This Row],[Data_Mov]]),$X$1:$Y$13,2,0)</f>
        <v>Novembro</v>
      </c>
      <c r="D121" s="31">
        <f>YEAR(Acrescentar1[[#This Row],[Data_Mov]])</f>
        <v>2024</v>
      </c>
      <c r="E121">
        <v>41752</v>
      </c>
      <c r="F121" t="s">
        <v>15</v>
      </c>
      <c r="G121">
        <v>7000</v>
      </c>
      <c r="H121" t="s">
        <v>13</v>
      </c>
      <c r="I121" s="9" t="str">
        <f>LEFT(RIGHT(Acrescentar1[[#This Row],[Nr_Doc]],4 ),2) &amp; ":" &amp; RIGHT(Acrescentar1[[#This Row],[Nr_Doc]],2)</f>
        <v>17:52</v>
      </c>
      <c r="J121" t="str">
        <f>IF(Acrescentar1[[#This Row],[Historico]]="COMPRA",VLOOKUP(Acrescentar1[[#This Row],[Coluna1]],$P$2:$T$400,4,0),Acrescentar1[[#This Row],[Historico]])</f>
        <v>PParada</v>
      </c>
    </row>
    <row r="122" spans="1:10" x14ac:dyDescent="0.3">
      <c r="A122">
        <v>1</v>
      </c>
      <c r="B122" s="1">
        <v>45600</v>
      </c>
      <c r="C122" s="1" t="str">
        <f>VLOOKUP(MONTH(Acrescentar1[[#This Row],[Data_Mov]]),$X$1:$Y$13,2,0)</f>
        <v>Novembro</v>
      </c>
      <c r="D122" s="31">
        <f>YEAR(Acrescentar1[[#This Row],[Data_Mov]])</f>
        <v>2024</v>
      </c>
      <c r="E122">
        <v>0</v>
      </c>
      <c r="F122" t="s">
        <v>18</v>
      </c>
      <c r="G122">
        <v>0</v>
      </c>
      <c r="H122" t="s">
        <v>13</v>
      </c>
      <c r="I122" s="9" t="str">
        <f>LEFT(RIGHT(Acrescentar1[[#This Row],[Nr_Doc]],4 ),2) &amp; ":" &amp; RIGHT(Acrescentar1[[#This Row],[Nr_Doc]],2)</f>
        <v>0:0</v>
      </c>
      <c r="J122" t="str">
        <f>IF(Acrescentar1[[#This Row],[Historico]]="COMPRA",VLOOKUP(Acrescentar1[[#This Row],[Coluna1]],$P$2:$T$400,4,0),Acrescentar1[[#This Row],[Historico]])</f>
        <v>SALDO DIA</v>
      </c>
    </row>
    <row r="123" spans="1:10" x14ac:dyDescent="0.3">
      <c r="A123">
        <v>1</v>
      </c>
      <c r="B123" s="1">
        <v>45601</v>
      </c>
      <c r="C123" s="1" t="str">
        <f>VLOOKUP(MONTH(Acrescentar1[[#This Row],[Data_Mov]]),$X$1:$Y$13,2,0)</f>
        <v>Novembro</v>
      </c>
      <c r="D123" s="31">
        <f>YEAR(Acrescentar1[[#This Row],[Data_Mov]])</f>
        <v>2024</v>
      </c>
      <c r="E123">
        <v>0</v>
      </c>
      <c r="F123" t="s">
        <v>18</v>
      </c>
      <c r="G123">
        <v>0</v>
      </c>
      <c r="H123" t="s">
        <v>13</v>
      </c>
      <c r="I123" s="9" t="str">
        <f>LEFT(RIGHT(Acrescentar1[[#This Row],[Nr_Doc]],4 ),2) &amp; ":" &amp; RIGHT(Acrescentar1[[#This Row],[Nr_Doc]],2)</f>
        <v>0:0</v>
      </c>
      <c r="J123" t="str">
        <f>IF(Acrescentar1[[#This Row],[Historico]]="COMPRA",VLOOKUP(Acrescentar1[[#This Row],[Coluna1]],$P$2:$T$400,4,0),Acrescentar1[[#This Row],[Historico]])</f>
        <v>SALDO DIA</v>
      </c>
    </row>
    <row r="124" spans="1:10" x14ac:dyDescent="0.3">
      <c r="A124">
        <v>1</v>
      </c>
      <c r="B124" s="1">
        <v>45602</v>
      </c>
      <c r="C124" s="1" t="str">
        <f>VLOOKUP(MONTH(Acrescentar1[[#This Row],[Data_Mov]]),$X$1:$Y$13,2,0)</f>
        <v>Novembro</v>
      </c>
      <c r="D124" s="31">
        <f>YEAR(Acrescentar1[[#This Row],[Data_Mov]])</f>
        <v>2024</v>
      </c>
      <c r="E124">
        <v>61851</v>
      </c>
      <c r="F124" t="s">
        <v>20</v>
      </c>
      <c r="G124">
        <v>15000</v>
      </c>
      <c r="H124" t="s">
        <v>21</v>
      </c>
      <c r="I124" s="9" t="str">
        <f>LEFT(RIGHT(Acrescentar1[[#This Row],[Nr_Doc]],4 ),2) &amp; ":" &amp; RIGHT(Acrescentar1[[#This Row],[Nr_Doc]],2)</f>
        <v>18:51</v>
      </c>
      <c r="J124" t="str">
        <f>IF(Acrescentar1[[#This Row],[Historico]]="COMPRA",VLOOKUP(Acrescentar1[[#This Row],[Coluna1]],$P$2:$T$400,4,0),Acrescentar1[[#This Row],[Historico]])</f>
        <v>CRED PIX</v>
      </c>
    </row>
    <row r="125" spans="1:10" x14ac:dyDescent="0.3">
      <c r="A125">
        <v>1</v>
      </c>
      <c r="B125" s="1">
        <v>45602</v>
      </c>
      <c r="C125" s="1" t="str">
        <f>VLOOKUP(MONTH(Acrescentar1[[#This Row],[Data_Mov]]),$X$1:$Y$13,2,0)</f>
        <v>Novembro</v>
      </c>
      <c r="D125" s="31">
        <f>YEAR(Acrescentar1[[#This Row],[Data_Mov]])</f>
        <v>2024</v>
      </c>
      <c r="E125">
        <v>0</v>
      </c>
      <c r="F125" t="s">
        <v>18</v>
      </c>
      <c r="G125">
        <v>0</v>
      </c>
      <c r="H125" t="s">
        <v>13</v>
      </c>
      <c r="I125" s="9" t="str">
        <f>LEFT(RIGHT(Acrescentar1[[#This Row],[Nr_Doc]],4 ),2) &amp; ":" &amp; RIGHT(Acrescentar1[[#This Row],[Nr_Doc]],2)</f>
        <v>0:0</v>
      </c>
      <c r="J125" t="str">
        <f>IF(Acrescentar1[[#This Row],[Historico]]="COMPRA",VLOOKUP(Acrescentar1[[#This Row],[Coluna1]],$P$2:$T$400,4,0),Acrescentar1[[#This Row],[Historico]])</f>
        <v>SALDO DIA</v>
      </c>
    </row>
    <row r="126" spans="1:10" x14ac:dyDescent="0.3">
      <c r="A126">
        <v>1</v>
      </c>
      <c r="B126" s="1">
        <v>45603</v>
      </c>
      <c r="C126" s="1" t="str">
        <f>VLOOKUP(MONTH(Acrescentar1[[#This Row],[Data_Mov]]),$X$1:$Y$13,2,0)</f>
        <v>Novembro</v>
      </c>
      <c r="D126" s="31">
        <f>YEAR(Acrescentar1[[#This Row],[Data_Mov]])</f>
        <v>2024</v>
      </c>
      <c r="E126">
        <v>71919</v>
      </c>
      <c r="F126" t="s">
        <v>15</v>
      </c>
      <c r="G126">
        <v>2600</v>
      </c>
      <c r="H126" t="s">
        <v>13</v>
      </c>
      <c r="I126" s="9" t="str">
        <f>LEFT(RIGHT(Acrescentar1[[#This Row],[Nr_Doc]],4 ),2) &amp; ":" &amp; RIGHT(Acrescentar1[[#This Row],[Nr_Doc]],2)</f>
        <v>19:19</v>
      </c>
      <c r="J126" t="str">
        <f>IF(Acrescentar1[[#This Row],[Historico]]="COMPRA",VLOOKUP(Acrescentar1[[#This Row],[Coluna1]],$P$2:$T$400,4,0),Acrescentar1[[#This Row],[Historico]])</f>
        <v>DIA FRANQUIA LJ 9</v>
      </c>
    </row>
    <row r="127" spans="1:10" x14ac:dyDescent="0.3">
      <c r="A127">
        <v>1</v>
      </c>
      <c r="B127" s="1">
        <v>45603</v>
      </c>
      <c r="C127" s="1" t="str">
        <f>VLOOKUP(MONTH(Acrescentar1[[#This Row],[Data_Mov]]),$X$1:$Y$13,2,0)</f>
        <v>Novembro</v>
      </c>
      <c r="D127" s="31">
        <f>YEAR(Acrescentar1[[#This Row],[Data_Mov]])</f>
        <v>2024</v>
      </c>
      <c r="E127">
        <v>0</v>
      </c>
      <c r="F127" t="s">
        <v>18</v>
      </c>
      <c r="G127">
        <v>0</v>
      </c>
      <c r="H127" t="s">
        <v>13</v>
      </c>
      <c r="I127" s="9" t="str">
        <f>LEFT(RIGHT(Acrescentar1[[#This Row],[Nr_Doc]],4 ),2) &amp; ":" &amp; RIGHT(Acrescentar1[[#This Row],[Nr_Doc]],2)</f>
        <v>0:0</v>
      </c>
      <c r="J127" t="str">
        <f>IF(Acrescentar1[[#This Row],[Historico]]="COMPRA",VLOOKUP(Acrescentar1[[#This Row],[Coluna1]],$P$2:$T$400,4,0),Acrescentar1[[#This Row],[Historico]])</f>
        <v>SALDO DIA</v>
      </c>
    </row>
    <row r="128" spans="1:10" x14ac:dyDescent="0.3">
      <c r="A128">
        <v>1</v>
      </c>
      <c r="B128" s="1">
        <v>45604</v>
      </c>
      <c r="C128" s="1" t="str">
        <f>VLOOKUP(MONTH(Acrescentar1[[#This Row],[Data_Mov]]),$X$1:$Y$13,2,0)</f>
        <v>Novembro</v>
      </c>
      <c r="D128" s="31">
        <f>YEAR(Acrescentar1[[#This Row],[Data_Mov]])</f>
        <v>2024</v>
      </c>
      <c r="E128">
        <v>80808</v>
      </c>
      <c r="F128" t="s">
        <v>15</v>
      </c>
      <c r="G128">
        <v>2000</v>
      </c>
      <c r="H128" t="s">
        <v>13</v>
      </c>
      <c r="I128" s="9" t="str">
        <f>LEFT(RIGHT(Acrescentar1[[#This Row],[Nr_Doc]],4 ),2) &amp; ":" &amp; RIGHT(Acrescentar1[[#This Row],[Nr_Doc]],2)</f>
        <v>08:08</v>
      </c>
      <c r="J128" t="str">
        <f>IF(Acrescentar1[[#This Row],[Historico]]="COMPRA",VLOOKUP(Acrescentar1[[#This Row],[Coluna1]],$P$2:$T$400,4,0),Acrescentar1[[#This Row],[Historico]])</f>
        <v>AutoPostoRecanto</v>
      </c>
    </row>
    <row r="129" spans="1:10" x14ac:dyDescent="0.3">
      <c r="A129">
        <v>1</v>
      </c>
      <c r="B129" s="1">
        <v>45604</v>
      </c>
      <c r="C129" s="1" t="str">
        <f>VLOOKUP(MONTH(Acrescentar1[[#This Row],[Data_Mov]]),$X$1:$Y$13,2,0)</f>
        <v>Novembro</v>
      </c>
      <c r="D129" s="31">
        <f>YEAR(Acrescentar1[[#This Row],[Data_Mov]])</f>
        <v>2024</v>
      </c>
      <c r="E129">
        <v>350600</v>
      </c>
      <c r="F129" t="s">
        <v>32</v>
      </c>
      <c r="G129">
        <v>5000</v>
      </c>
      <c r="H129" t="s">
        <v>21</v>
      </c>
      <c r="I129" s="9" t="str">
        <f>LEFT(RIGHT(Acrescentar1[[#This Row],[Nr_Doc]],4 ),2) &amp; ":" &amp; RIGHT(Acrescentar1[[#This Row],[Nr_Doc]],2)</f>
        <v>06:00</v>
      </c>
      <c r="J129" t="str">
        <f>IF(Acrescentar1[[#This Row],[Historico]]="COMPRA",VLOOKUP(Acrescentar1[[#This Row],[Coluna1]],$P$2:$T$400,4,0),Acrescentar1[[#This Row],[Historico]])</f>
        <v>DEP DIN AG</v>
      </c>
    </row>
    <row r="130" spans="1:10" x14ac:dyDescent="0.3">
      <c r="A130">
        <v>1</v>
      </c>
      <c r="B130" s="1">
        <v>45604</v>
      </c>
      <c r="C130" s="1" t="str">
        <f>VLOOKUP(MONTH(Acrescentar1[[#This Row],[Data_Mov]]),$X$1:$Y$13,2,0)</f>
        <v>Novembro</v>
      </c>
      <c r="D130" s="31">
        <f>YEAR(Acrescentar1[[#This Row],[Data_Mov]])</f>
        <v>2024</v>
      </c>
      <c r="E130">
        <v>81755</v>
      </c>
      <c r="F130" t="s">
        <v>15</v>
      </c>
      <c r="G130">
        <v>10000</v>
      </c>
      <c r="H130" t="s">
        <v>13</v>
      </c>
      <c r="I130" s="9" t="str">
        <f>LEFT(RIGHT(Acrescentar1[[#This Row],[Nr_Doc]],4 ),2) &amp; ":" &amp; RIGHT(Acrescentar1[[#This Row],[Nr_Doc]],2)</f>
        <v>17:55</v>
      </c>
      <c r="J130" t="str">
        <f>IF(Acrescentar1[[#This Row],[Historico]]="COMPRA",VLOOKUP(Acrescentar1[[#This Row],[Coluna1]],$P$2:$T$400,4,0),Acrescentar1[[#This Row],[Historico]])</f>
        <v>SAO JOAO CONVENIENCIA</v>
      </c>
    </row>
    <row r="131" spans="1:10" x14ac:dyDescent="0.3">
      <c r="A131">
        <v>1</v>
      </c>
      <c r="B131" s="1">
        <v>45604</v>
      </c>
      <c r="C131" s="1" t="str">
        <f>VLOOKUP(MONTH(Acrescentar1[[#This Row],[Data_Mov]]),$X$1:$Y$13,2,0)</f>
        <v>Novembro</v>
      </c>
      <c r="D131" s="31">
        <f>YEAR(Acrescentar1[[#This Row],[Data_Mov]])</f>
        <v>2024</v>
      </c>
      <c r="E131">
        <v>81930</v>
      </c>
      <c r="F131" t="s">
        <v>15</v>
      </c>
      <c r="G131">
        <v>4431</v>
      </c>
      <c r="H131" t="s">
        <v>13</v>
      </c>
      <c r="I131" s="9" t="str">
        <f>LEFT(RIGHT(Acrescentar1[[#This Row],[Nr_Doc]],4 ),2) &amp; ":" &amp; RIGHT(Acrescentar1[[#This Row],[Nr_Doc]],2)</f>
        <v>19:30</v>
      </c>
      <c r="J131" t="str">
        <f>IF(Acrescentar1[[#This Row],[Historico]]="COMPRA",VLOOKUP(Acrescentar1[[#This Row],[Coluna1]],$P$2:$T$400,4,0),Acrescentar1[[#This Row],[Historico]])</f>
        <v>DIA FRANQUIA LJ 9</v>
      </c>
    </row>
    <row r="132" spans="1:10" x14ac:dyDescent="0.3">
      <c r="A132">
        <v>1</v>
      </c>
      <c r="B132" s="1">
        <v>45604</v>
      </c>
      <c r="C132" s="1" t="str">
        <f>VLOOKUP(MONTH(Acrescentar1[[#This Row],[Data_Mov]]),$X$1:$Y$13,2,0)</f>
        <v>Novembro</v>
      </c>
      <c r="D132" s="31">
        <f>YEAR(Acrescentar1[[#This Row],[Data_Mov]])</f>
        <v>2024</v>
      </c>
      <c r="E132">
        <v>0</v>
      </c>
      <c r="F132" t="s">
        <v>18</v>
      </c>
      <c r="G132">
        <v>0</v>
      </c>
      <c r="H132" t="s">
        <v>13</v>
      </c>
      <c r="I132" s="9" t="str">
        <f>LEFT(RIGHT(Acrescentar1[[#This Row],[Nr_Doc]],4 ),2) &amp; ":" &amp; RIGHT(Acrescentar1[[#This Row],[Nr_Doc]],2)</f>
        <v>0:0</v>
      </c>
      <c r="J132" t="str">
        <f>IF(Acrescentar1[[#This Row],[Historico]]="COMPRA",VLOOKUP(Acrescentar1[[#This Row],[Coluna1]],$P$2:$T$400,4,0),Acrescentar1[[#This Row],[Historico]])</f>
        <v>SALDO DIA</v>
      </c>
    </row>
    <row r="133" spans="1:10" x14ac:dyDescent="0.3">
      <c r="A133">
        <v>1</v>
      </c>
      <c r="B133" s="1">
        <v>45607</v>
      </c>
      <c r="C133" s="1" t="str">
        <f>VLOOKUP(MONTH(Acrescentar1[[#This Row],[Data_Mov]]),$X$1:$Y$13,2,0)</f>
        <v>Novembro</v>
      </c>
      <c r="D133" s="31">
        <f>YEAR(Acrescentar1[[#This Row],[Data_Mov]])</f>
        <v>2024</v>
      </c>
      <c r="E133">
        <v>91846</v>
      </c>
      <c r="F133" t="s">
        <v>169</v>
      </c>
      <c r="G133">
        <v>500</v>
      </c>
      <c r="H133" t="s">
        <v>13</v>
      </c>
      <c r="I133" s="9" t="str">
        <f>LEFT(RIGHT(Acrescentar1[[#This Row],[Nr_Doc]],4 ),2) &amp; ":" &amp; RIGHT(Acrescentar1[[#This Row],[Nr_Doc]],2)</f>
        <v>18:46</v>
      </c>
      <c r="J133" t="str">
        <f>IF(Acrescentar1[[#This Row],[Historico]]="COMPRA",VLOOKUP(Acrescentar1[[#This Row],[Coluna1]],$P$2:$T$400,4,0),Acrescentar1[[#This Row],[Historico]])</f>
        <v>APP</v>
      </c>
    </row>
    <row r="134" spans="1:10" x14ac:dyDescent="0.3">
      <c r="A134">
        <v>1</v>
      </c>
      <c r="B134" s="1">
        <v>45607</v>
      </c>
      <c r="C134" s="1" t="str">
        <f>VLOOKUP(MONTH(Acrescentar1[[#This Row],[Data_Mov]]),$X$1:$Y$13,2,0)</f>
        <v>Novembro</v>
      </c>
      <c r="D134" s="31">
        <f>YEAR(Acrescentar1[[#This Row],[Data_Mov]])</f>
        <v>2024</v>
      </c>
      <c r="E134">
        <v>101559</v>
      </c>
      <c r="F134" t="s">
        <v>20</v>
      </c>
      <c r="G134">
        <v>1000</v>
      </c>
      <c r="H134" t="s">
        <v>21</v>
      </c>
      <c r="I134" s="9" t="str">
        <f>LEFT(RIGHT(Acrescentar1[[#This Row],[Nr_Doc]],4 ),2) &amp; ":" &amp; RIGHT(Acrescentar1[[#This Row],[Nr_Doc]],2)</f>
        <v>15:59</v>
      </c>
      <c r="J134" t="str">
        <f>IF(Acrescentar1[[#This Row],[Historico]]="COMPRA",VLOOKUP(Acrescentar1[[#This Row],[Coluna1]],$P$2:$T$400,4,0),Acrescentar1[[#This Row],[Historico]])</f>
        <v>CRED PIX</v>
      </c>
    </row>
    <row r="135" spans="1:10" x14ac:dyDescent="0.3">
      <c r="A135">
        <v>1</v>
      </c>
      <c r="B135" s="1">
        <v>45607</v>
      </c>
      <c r="C135" s="1" t="str">
        <f>VLOOKUP(MONTH(Acrescentar1[[#This Row],[Data_Mov]]),$X$1:$Y$13,2,0)</f>
        <v>Novembro</v>
      </c>
      <c r="D135" s="31">
        <f>YEAR(Acrescentar1[[#This Row],[Data_Mov]])</f>
        <v>2024</v>
      </c>
      <c r="E135">
        <v>102054</v>
      </c>
      <c r="F135" t="s">
        <v>20</v>
      </c>
      <c r="G135">
        <v>10000</v>
      </c>
      <c r="H135" t="s">
        <v>21</v>
      </c>
      <c r="I135" s="9" t="str">
        <f>LEFT(RIGHT(Acrescentar1[[#This Row],[Nr_Doc]],4 ),2) &amp; ":" &amp; RIGHT(Acrescentar1[[#This Row],[Nr_Doc]],2)</f>
        <v>20:54</v>
      </c>
      <c r="J135" t="str">
        <f>IF(Acrescentar1[[#This Row],[Historico]]="COMPRA",VLOOKUP(Acrescentar1[[#This Row],[Coluna1]],$P$2:$T$400,4,0),Acrescentar1[[#This Row],[Historico]])</f>
        <v>CRED PIX</v>
      </c>
    </row>
    <row r="136" spans="1:10" x14ac:dyDescent="0.3">
      <c r="A136">
        <v>1</v>
      </c>
      <c r="B136" s="1">
        <v>45607</v>
      </c>
      <c r="C136" s="1" t="str">
        <f>VLOOKUP(MONTH(Acrescentar1[[#This Row],[Data_Mov]]),$X$1:$Y$13,2,0)</f>
        <v>Novembro</v>
      </c>
      <c r="D136" s="31">
        <f>YEAR(Acrescentar1[[#This Row],[Data_Mov]])</f>
        <v>2024</v>
      </c>
      <c r="E136">
        <v>102058</v>
      </c>
      <c r="F136" t="s">
        <v>19</v>
      </c>
      <c r="G136">
        <v>10600</v>
      </c>
      <c r="H136" t="s">
        <v>13</v>
      </c>
      <c r="I136" s="9" t="str">
        <f>LEFT(RIGHT(Acrescentar1[[#This Row],[Nr_Doc]],4 ),2) &amp; ":" &amp; RIGHT(Acrescentar1[[#This Row],[Nr_Doc]],2)</f>
        <v>20:58</v>
      </c>
      <c r="J136" t="str">
        <f>IF(Acrescentar1[[#This Row],[Historico]]="COMPRA",VLOOKUP(Acrescentar1[[#This Row],[Coluna1]],$P$2:$T$400,4,0),Acrescentar1[[#This Row],[Historico]])</f>
        <v>ENVIO PIX</v>
      </c>
    </row>
    <row r="137" spans="1:10" x14ac:dyDescent="0.3">
      <c r="A137">
        <v>1</v>
      </c>
      <c r="B137" s="1">
        <v>45607</v>
      </c>
      <c r="C137" s="1" t="str">
        <f>VLOOKUP(MONTH(Acrescentar1[[#This Row],[Data_Mov]]),$X$1:$Y$13,2,0)</f>
        <v>Novembro</v>
      </c>
      <c r="D137" s="31">
        <f>YEAR(Acrescentar1[[#This Row],[Data_Mov]])</f>
        <v>2024</v>
      </c>
      <c r="E137">
        <v>350600</v>
      </c>
      <c r="F137" t="s">
        <v>32</v>
      </c>
      <c r="G137">
        <v>10000</v>
      </c>
      <c r="H137" t="s">
        <v>21</v>
      </c>
      <c r="I137" s="9" t="str">
        <f>LEFT(RIGHT(Acrescentar1[[#This Row],[Nr_Doc]],4 ),2) &amp; ":" &amp; RIGHT(Acrescentar1[[#This Row],[Nr_Doc]],2)</f>
        <v>06:00</v>
      </c>
      <c r="J137" t="str">
        <f>IF(Acrescentar1[[#This Row],[Historico]]="COMPRA",VLOOKUP(Acrescentar1[[#This Row],[Coluna1]],$P$2:$T$400,4,0),Acrescentar1[[#This Row],[Historico]])</f>
        <v>DEP DIN AG</v>
      </c>
    </row>
    <row r="138" spans="1:10" x14ac:dyDescent="0.3">
      <c r="A138">
        <v>1</v>
      </c>
      <c r="B138" s="1">
        <v>45607</v>
      </c>
      <c r="C138" s="1" t="str">
        <f>VLOOKUP(MONTH(Acrescentar1[[#This Row],[Data_Mov]]),$X$1:$Y$13,2,0)</f>
        <v>Novembro</v>
      </c>
      <c r="D138" s="31">
        <f>YEAR(Acrescentar1[[#This Row],[Data_Mov]])</f>
        <v>2024</v>
      </c>
      <c r="E138">
        <v>111800</v>
      </c>
      <c r="F138" t="s">
        <v>15</v>
      </c>
      <c r="G138">
        <v>1200</v>
      </c>
      <c r="H138" t="s">
        <v>13</v>
      </c>
      <c r="I138" s="9" t="str">
        <f>LEFT(RIGHT(Acrescentar1[[#This Row],[Nr_Doc]],4 ),2) &amp; ":" &amp; RIGHT(Acrescentar1[[#This Row],[Nr_Doc]],2)</f>
        <v>18:00</v>
      </c>
      <c r="J138" t="str">
        <f>IF(Acrescentar1[[#This Row],[Historico]]="COMPRA",VLOOKUP(Acrescentar1[[#This Row],[Coluna1]],$P$2:$T$400,4,0),Acrescentar1[[#This Row],[Historico]])</f>
        <v>PParada</v>
      </c>
    </row>
    <row r="139" spans="1:10" x14ac:dyDescent="0.3">
      <c r="A139">
        <v>1</v>
      </c>
      <c r="B139" s="1">
        <v>45607</v>
      </c>
      <c r="C139" s="1" t="str">
        <f>VLOOKUP(MONTH(Acrescentar1[[#This Row],[Data_Mov]]),$X$1:$Y$13,2,0)</f>
        <v>Novembro</v>
      </c>
      <c r="D139" s="31">
        <f>YEAR(Acrescentar1[[#This Row],[Data_Mov]])</f>
        <v>2024</v>
      </c>
      <c r="E139">
        <v>111806</v>
      </c>
      <c r="F139" t="s">
        <v>15</v>
      </c>
      <c r="G139">
        <v>10000</v>
      </c>
      <c r="H139" t="s">
        <v>13</v>
      </c>
      <c r="I139" s="9" t="str">
        <f>LEFT(RIGHT(Acrescentar1[[#This Row],[Nr_Doc]],4 ),2) &amp; ":" &amp; RIGHT(Acrescentar1[[#This Row],[Nr_Doc]],2)</f>
        <v>18:06</v>
      </c>
      <c r="J139" t="str">
        <f>IF(Acrescentar1[[#This Row],[Historico]]="COMPRA",VLOOKUP(Acrescentar1[[#This Row],[Coluna1]],$P$2:$T$400,4,0),Acrescentar1[[#This Row],[Historico]])</f>
        <v>PParada</v>
      </c>
    </row>
    <row r="140" spans="1:10" x14ac:dyDescent="0.3">
      <c r="A140">
        <v>1</v>
      </c>
      <c r="B140" s="1">
        <v>45607</v>
      </c>
      <c r="C140" s="1" t="str">
        <f>VLOOKUP(MONTH(Acrescentar1[[#This Row],[Data_Mov]]),$X$1:$Y$13,2,0)</f>
        <v>Novembro</v>
      </c>
      <c r="D140" s="31">
        <f>YEAR(Acrescentar1[[#This Row],[Data_Mov]])</f>
        <v>2024</v>
      </c>
      <c r="E140">
        <v>0</v>
      </c>
      <c r="F140" t="s">
        <v>18</v>
      </c>
      <c r="G140">
        <v>0</v>
      </c>
      <c r="H140" t="s">
        <v>13</v>
      </c>
      <c r="I140" s="9" t="str">
        <f>LEFT(RIGHT(Acrescentar1[[#This Row],[Nr_Doc]],4 ),2) &amp; ":" &amp; RIGHT(Acrescentar1[[#This Row],[Nr_Doc]],2)</f>
        <v>0:0</v>
      </c>
      <c r="J140" t="str">
        <f>IF(Acrescentar1[[#This Row],[Historico]]="COMPRA",VLOOKUP(Acrescentar1[[#This Row],[Coluna1]],$P$2:$T$400,4,0),Acrescentar1[[#This Row],[Historico]])</f>
        <v>SALDO DIA</v>
      </c>
    </row>
    <row r="141" spans="1:10" x14ac:dyDescent="0.3">
      <c r="A141">
        <v>1</v>
      </c>
      <c r="B141" s="1">
        <v>45608</v>
      </c>
      <c r="C141" s="1" t="str">
        <f>VLOOKUP(MONTH(Acrescentar1[[#This Row],[Data_Mov]]),$X$1:$Y$13,2,0)</f>
        <v>Novembro</v>
      </c>
      <c r="D141" s="31">
        <f>YEAR(Acrescentar1[[#This Row],[Data_Mov]])</f>
        <v>2024</v>
      </c>
      <c r="E141">
        <v>121834</v>
      </c>
      <c r="F141" t="s">
        <v>15</v>
      </c>
      <c r="G141">
        <v>1100</v>
      </c>
      <c r="H141" t="s">
        <v>13</v>
      </c>
      <c r="I141" s="9" t="str">
        <f>LEFT(RIGHT(Acrescentar1[[#This Row],[Nr_Doc]],4 ),2) &amp; ":" &amp; RIGHT(Acrescentar1[[#This Row],[Nr_Doc]],2)</f>
        <v>18:34</v>
      </c>
      <c r="J141" t="str">
        <f>IF(Acrescentar1[[#This Row],[Historico]]="COMPRA",VLOOKUP(Acrescentar1[[#This Row],[Coluna1]],$P$2:$T$400,4,0),Acrescentar1[[#This Row],[Historico]])</f>
        <v>DIA FRANQUIA LJ 9</v>
      </c>
    </row>
    <row r="142" spans="1:10" x14ac:dyDescent="0.3">
      <c r="A142">
        <v>1</v>
      </c>
      <c r="B142" s="1">
        <v>45608</v>
      </c>
      <c r="C142" s="1" t="str">
        <f>VLOOKUP(MONTH(Acrescentar1[[#This Row],[Data_Mov]]),$X$1:$Y$13,2,0)</f>
        <v>Novembro</v>
      </c>
      <c r="D142" s="31">
        <f>YEAR(Acrescentar1[[#This Row],[Data_Mov]])</f>
        <v>2024</v>
      </c>
      <c r="E142">
        <v>0</v>
      </c>
      <c r="F142" t="s">
        <v>18</v>
      </c>
      <c r="G142">
        <v>0</v>
      </c>
      <c r="H142" t="s">
        <v>13</v>
      </c>
      <c r="I142" s="9" t="str">
        <f>LEFT(RIGHT(Acrescentar1[[#This Row],[Nr_Doc]],4 ),2) &amp; ":" &amp; RIGHT(Acrescentar1[[#This Row],[Nr_Doc]],2)</f>
        <v>0:0</v>
      </c>
      <c r="J142" t="str">
        <f>IF(Acrescentar1[[#This Row],[Historico]]="COMPRA",VLOOKUP(Acrescentar1[[#This Row],[Coluna1]],$P$2:$T$400,4,0),Acrescentar1[[#This Row],[Historico]])</f>
        <v>SALDO DIA</v>
      </c>
    </row>
    <row r="143" spans="1:10" x14ac:dyDescent="0.3">
      <c r="A143">
        <v>1</v>
      </c>
      <c r="B143" s="1">
        <v>45609</v>
      </c>
      <c r="C143" s="1" t="str">
        <f>VLOOKUP(MONTH(Acrescentar1[[#This Row],[Data_Mov]]),$X$1:$Y$13,2,0)</f>
        <v>Novembro</v>
      </c>
      <c r="D143" s="31">
        <f>YEAR(Acrescentar1[[#This Row],[Data_Mov]])</f>
        <v>2024</v>
      </c>
      <c r="E143">
        <v>350600</v>
      </c>
      <c r="F143" t="s">
        <v>32</v>
      </c>
      <c r="G143">
        <v>31500</v>
      </c>
      <c r="H143" t="s">
        <v>21</v>
      </c>
      <c r="I143" s="9" t="str">
        <f>LEFT(RIGHT(Acrescentar1[[#This Row],[Nr_Doc]],4 ),2) &amp; ":" &amp; RIGHT(Acrescentar1[[#This Row],[Nr_Doc]],2)</f>
        <v>06:00</v>
      </c>
      <c r="J143" t="str">
        <f>IF(Acrescentar1[[#This Row],[Historico]]="COMPRA",VLOOKUP(Acrescentar1[[#This Row],[Coluna1]],$P$2:$T$400,4,0),Acrescentar1[[#This Row],[Historico]])</f>
        <v>DEP DIN AG</v>
      </c>
    </row>
    <row r="144" spans="1:10" x14ac:dyDescent="0.3">
      <c r="A144">
        <v>1</v>
      </c>
      <c r="B144" s="1">
        <v>45609</v>
      </c>
      <c r="C144" s="1" t="str">
        <f>VLOOKUP(MONTH(Acrescentar1[[#This Row],[Data_Mov]]),$X$1:$Y$13,2,0)</f>
        <v>Novembro</v>
      </c>
      <c r="D144" s="31">
        <f>YEAR(Acrescentar1[[#This Row],[Data_Mov]])</f>
        <v>2024</v>
      </c>
      <c r="E144">
        <v>131356</v>
      </c>
      <c r="F144" t="s">
        <v>14</v>
      </c>
      <c r="G144">
        <v>6500</v>
      </c>
      <c r="H144" t="s">
        <v>13</v>
      </c>
      <c r="I144" s="9" t="str">
        <f>LEFT(RIGHT(Acrescentar1[[#This Row],[Nr_Doc]],4 ),2) &amp; ":" &amp; RIGHT(Acrescentar1[[#This Row],[Nr_Doc]],2)</f>
        <v>13:56</v>
      </c>
      <c r="J144" t="str">
        <f>IF(Acrescentar1[[#This Row],[Historico]]="COMPRA",VLOOKUP(Acrescentar1[[#This Row],[Coluna1]],$P$2:$T$400,4,0),Acrescentar1[[#This Row],[Historico]])</f>
        <v>DEB WHATS</v>
      </c>
    </row>
    <row r="145" spans="1:10" x14ac:dyDescent="0.3">
      <c r="A145">
        <v>1</v>
      </c>
      <c r="B145" s="1">
        <v>45609</v>
      </c>
      <c r="C145" s="1" t="str">
        <f>VLOOKUP(MONTH(Acrescentar1[[#This Row],[Data_Mov]]),$X$1:$Y$13,2,0)</f>
        <v>Novembro</v>
      </c>
      <c r="D145" s="31">
        <f>YEAR(Acrescentar1[[#This Row],[Data_Mov]])</f>
        <v>2024</v>
      </c>
      <c r="E145">
        <v>131803</v>
      </c>
      <c r="F145" t="s">
        <v>15</v>
      </c>
      <c r="G145">
        <v>10000</v>
      </c>
      <c r="H145" t="s">
        <v>13</v>
      </c>
      <c r="I145" s="9" t="str">
        <f>LEFT(RIGHT(Acrescentar1[[#This Row],[Nr_Doc]],4 ),2) &amp; ":" &amp; RIGHT(Acrescentar1[[#This Row],[Nr_Doc]],2)</f>
        <v>18:03</v>
      </c>
      <c r="J145" t="str">
        <f>IF(Acrescentar1[[#This Row],[Historico]]="COMPRA",VLOOKUP(Acrescentar1[[#This Row],[Coluna1]],$P$2:$T$400,4,0),Acrescentar1[[#This Row],[Historico]])</f>
        <v>PParada</v>
      </c>
    </row>
    <row r="146" spans="1:10" x14ac:dyDescent="0.3">
      <c r="A146">
        <v>1</v>
      </c>
      <c r="B146" s="1">
        <v>45609</v>
      </c>
      <c r="C146" s="1" t="str">
        <f>VLOOKUP(MONTH(Acrescentar1[[#This Row],[Data_Mov]]),$X$1:$Y$13,2,0)</f>
        <v>Novembro</v>
      </c>
      <c r="D146" s="31">
        <f>YEAR(Acrescentar1[[#This Row],[Data_Mov]])</f>
        <v>2024</v>
      </c>
      <c r="E146">
        <v>131844</v>
      </c>
      <c r="F146" t="s">
        <v>15</v>
      </c>
      <c r="G146">
        <v>1987</v>
      </c>
      <c r="H146" t="s">
        <v>13</v>
      </c>
      <c r="I146" s="9" t="str">
        <f>LEFT(RIGHT(Acrescentar1[[#This Row],[Nr_Doc]],4 ),2) &amp; ":" &amp; RIGHT(Acrescentar1[[#This Row],[Nr_Doc]],2)</f>
        <v>18:44</v>
      </c>
      <c r="J146" t="str">
        <f>IF(Acrescentar1[[#This Row],[Historico]]="COMPRA",VLOOKUP(Acrescentar1[[#This Row],[Coluna1]],$P$2:$T$400,4,0),Acrescentar1[[#This Row],[Historico]])</f>
        <v>DIA FRANQUIA LJ 9</v>
      </c>
    </row>
    <row r="147" spans="1:10" x14ac:dyDescent="0.3">
      <c r="A147">
        <v>1</v>
      </c>
      <c r="B147" s="1">
        <v>45609</v>
      </c>
      <c r="C147" s="1" t="str">
        <f>VLOOKUP(MONTH(Acrescentar1[[#This Row],[Data_Mov]]),$X$1:$Y$13,2,0)</f>
        <v>Novembro</v>
      </c>
      <c r="D147" s="31">
        <f>YEAR(Acrescentar1[[#This Row],[Data_Mov]])</f>
        <v>2024</v>
      </c>
      <c r="E147">
        <v>0</v>
      </c>
      <c r="F147" t="s">
        <v>18</v>
      </c>
      <c r="G147">
        <v>0</v>
      </c>
      <c r="H147" t="s">
        <v>13</v>
      </c>
      <c r="I147" s="9" t="str">
        <f>LEFT(RIGHT(Acrescentar1[[#This Row],[Nr_Doc]],4 ),2) &amp; ":" &amp; RIGHT(Acrescentar1[[#This Row],[Nr_Doc]],2)</f>
        <v>0:0</v>
      </c>
      <c r="J147" t="str">
        <f>IF(Acrescentar1[[#This Row],[Historico]]="COMPRA",VLOOKUP(Acrescentar1[[#This Row],[Coluna1]],$P$2:$T$400,4,0),Acrescentar1[[#This Row],[Historico]])</f>
        <v>SALDO DIA</v>
      </c>
    </row>
    <row r="148" spans="1:10" x14ac:dyDescent="0.3">
      <c r="A148">
        <v>1</v>
      </c>
      <c r="B148" s="1">
        <v>45610</v>
      </c>
      <c r="C148" s="1" t="str">
        <f>VLOOKUP(MONTH(Acrescentar1[[#This Row],[Data_Mov]]),$X$1:$Y$13,2,0)</f>
        <v>Novembro</v>
      </c>
      <c r="D148" s="31">
        <f>YEAR(Acrescentar1[[#This Row],[Data_Mov]])</f>
        <v>2024</v>
      </c>
      <c r="E148">
        <v>141219</v>
      </c>
      <c r="F148" t="s">
        <v>20</v>
      </c>
      <c r="G148">
        <v>35000</v>
      </c>
      <c r="H148" t="s">
        <v>21</v>
      </c>
      <c r="I148" s="9" t="str">
        <f>LEFT(RIGHT(Acrescentar1[[#This Row],[Nr_Doc]],4 ),2) &amp; ":" &amp; RIGHT(Acrescentar1[[#This Row],[Nr_Doc]],2)</f>
        <v>12:19</v>
      </c>
      <c r="J148" t="str">
        <f>IF(Acrescentar1[[#This Row],[Historico]]="COMPRA",VLOOKUP(Acrescentar1[[#This Row],[Coluna1]],$P$2:$T$400,4,0),Acrescentar1[[#This Row],[Historico]])</f>
        <v>CRED PIX</v>
      </c>
    </row>
    <row r="149" spans="1:10" x14ac:dyDescent="0.3">
      <c r="A149">
        <v>1</v>
      </c>
      <c r="B149" s="1">
        <v>45610</v>
      </c>
      <c r="C149" s="1" t="str">
        <f>VLOOKUP(MONTH(Acrescentar1[[#This Row],[Data_Mov]]),$X$1:$Y$13,2,0)</f>
        <v>Novembro</v>
      </c>
      <c r="D149" s="31">
        <f>YEAR(Acrescentar1[[#This Row],[Data_Mov]])</f>
        <v>2024</v>
      </c>
      <c r="E149">
        <v>141416</v>
      </c>
      <c r="F149" t="s">
        <v>15</v>
      </c>
      <c r="G149">
        <v>2305</v>
      </c>
      <c r="H149" t="s">
        <v>13</v>
      </c>
      <c r="I149" s="9" t="str">
        <f>LEFT(RIGHT(Acrescentar1[[#This Row],[Nr_Doc]],4 ),2) &amp; ":" &amp; RIGHT(Acrescentar1[[#This Row],[Nr_Doc]],2)</f>
        <v>14:16</v>
      </c>
      <c r="J149" t="str">
        <f>IF(Acrescentar1[[#This Row],[Historico]]="COMPRA",VLOOKUP(Acrescentar1[[#This Row],[Coluna1]],$P$2:$T$400,4,0),Acrescentar1[[#This Row],[Historico]])</f>
        <v>ATIBAIA POINT COM</v>
      </c>
    </row>
    <row r="150" spans="1:10" x14ac:dyDescent="0.3">
      <c r="A150">
        <v>1</v>
      </c>
      <c r="B150" s="1">
        <v>45610</v>
      </c>
      <c r="C150" s="1" t="str">
        <f>VLOOKUP(MONTH(Acrescentar1[[#This Row],[Data_Mov]]),$X$1:$Y$13,2,0)</f>
        <v>Novembro</v>
      </c>
      <c r="D150" s="31">
        <f>YEAR(Acrescentar1[[#This Row],[Data_Mov]])</f>
        <v>2024</v>
      </c>
      <c r="E150">
        <v>141902</v>
      </c>
      <c r="F150" t="s">
        <v>15</v>
      </c>
      <c r="G150">
        <v>4329</v>
      </c>
      <c r="H150" t="s">
        <v>13</v>
      </c>
      <c r="I150" s="9" t="str">
        <f>LEFT(RIGHT(Acrescentar1[[#This Row],[Nr_Doc]],4 ),2) &amp; ":" &amp; RIGHT(Acrescentar1[[#This Row],[Nr_Doc]],2)</f>
        <v>19:02</v>
      </c>
      <c r="J150" t="str">
        <f>IF(Acrescentar1[[#This Row],[Historico]]="COMPRA",VLOOKUP(Acrescentar1[[#This Row],[Coluna1]],$P$2:$T$400,4,0),Acrescentar1[[#This Row],[Historico]])</f>
        <v>DIA FRANQUIA LJ 9</v>
      </c>
    </row>
    <row r="151" spans="1:10" x14ac:dyDescent="0.3">
      <c r="A151">
        <v>1</v>
      </c>
      <c r="B151" s="1">
        <v>45610</v>
      </c>
      <c r="C151" s="1" t="str">
        <f>VLOOKUP(MONTH(Acrescentar1[[#This Row],[Data_Mov]]),$X$1:$Y$13,2,0)</f>
        <v>Novembro</v>
      </c>
      <c r="D151" s="31">
        <f>YEAR(Acrescentar1[[#This Row],[Data_Mov]])</f>
        <v>2024</v>
      </c>
      <c r="E151">
        <v>0</v>
      </c>
      <c r="F151" t="s">
        <v>18</v>
      </c>
      <c r="G151">
        <v>0</v>
      </c>
      <c r="H151" t="s">
        <v>13</v>
      </c>
      <c r="I151" s="9" t="str">
        <f>LEFT(RIGHT(Acrescentar1[[#This Row],[Nr_Doc]],4 ),2) &amp; ":" &amp; RIGHT(Acrescentar1[[#This Row],[Nr_Doc]],2)</f>
        <v>0:0</v>
      </c>
      <c r="J151" t="str">
        <f>IF(Acrescentar1[[#This Row],[Historico]]="COMPRA",VLOOKUP(Acrescentar1[[#This Row],[Coluna1]],$P$2:$T$400,4,0),Acrescentar1[[#This Row],[Historico]])</f>
        <v>SALDO DIA</v>
      </c>
    </row>
    <row r="152" spans="1:10" x14ac:dyDescent="0.3">
      <c r="A152">
        <v>1</v>
      </c>
      <c r="B152" s="1">
        <v>45614</v>
      </c>
      <c r="C152" s="1" t="str">
        <f>VLOOKUP(MONTH(Acrescentar1[[#This Row],[Data_Mov]]),$X$1:$Y$13,2,0)</f>
        <v>Novembro</v>
      </c>
      <c r="D152" s="31">
        <f>YEAR(Acrescentar1[[#This Row],[Data_Mov]])</f>
        <v>2024</v>
      </c>
      <c r="E152">
        <v>151546</v>
      </c>
      <c r="F152" t="s">
        <v>19</v>
      </c>
      <c r="G152">
        <v>3500</v>
      </c>
      <c r="H152" t="s">
        <v>13</v>
      </c>
      <c r="I152" s="9" t="str">
        <f>LEFT(RIGHT(Acrescentar1[[#This Row],[Nr_Doc]],4 ),2) &amp; ":" &amp; RIGHT(Acrescentar1[[#This Row],[Nr_Doc]],2)</f>
        <v>15:46</v>
      </c>
      <c r="J152" t="str">
        <f>IF(Acrescentar1[[#This Row],[Historico]]="COMPRA",VLOOKUP(Acrescentar1[[#This Row],[Coluna1]],$P$2:$T$400,4,0),Acrescentar1[[#This Row],[Historico]])</f>
        <v>ENVIO PIX</v>
      </c>
    </row>
    <row r="153" spans="1:10" x14ac:dyDescent="0.3">
      <c r="A153">
        <v>1</v>
      </c>
      <c r="B153" s="1">
        <v>45614</v>
      </c>
      <c r="C153" s="1" t="str">
        <f>VLOOKUP(MONTH(Acrescentar1[[#This Row],[Data_Mov]]),$X$1:$Y$13,2,0)</f>
        <v>Novembro</v>
      </c>
      <c r="D153" s="31">
        <f>YEAR(Acrescentar1[[#This Row],[Data_Mov]])</f>
        <v>2024</v>
      </c>
      <c r="E153">
        <v>151601</v>
      </c>
      <c r="F153" t="s">
        <v>19</v>
      </c>
      <c r="G153">
        <v>800</v>
      </c>
      <c r="H153" t="s">
        <v>13</v>
      </c>
      <c r="I153" s="9" t="str">
        <f>LEFT(RIGHT(Acrescentar1[[#This Row],[Nr_Doc]],4 ),2) &amp; ":" &amp; RIGHT(Acrescentar1[[#This Row],[Nr_Doc]],2)</f>
        <v>16:01</v>
      </c>
      <c r="J153" t="str">
        <f>IF(Acrescentar1[[#This Row],[Historico]]="COMPRA",VLOOKUP(Acrescentar1[[#This Row],[Coluna1]],$P$2:$T$400,4,0),Acrescentar1[[#This Row],[Historico]])</f>
        <v>ENVIO PIX</v>
      </c>
    </row>
    <row r="154" spans="1:10" x14ac:dyDescent="0.3">
      <c r="A154">
        <v>1</v>
      </c>
      <c r="B154" s="1">
        <v>45614</v>
      </c>
      <c r="C154" s="1" t="str">
        <f>VLOOKUP(MONTH(Acrescentar1[[#This Row],[Data_Mov]]),$X$1:$Y$13,2,0)</f>
        <v>Novembro</v>
      </c>
      <c r="D154" s="31">
        <f>YEAR(Acrescentar1[[#This Row],[Data_Mov]])</f>
        <v>2024</v>
      </c>
      <c r="E154">
        <v>161223</v>
      </c>
      <c r="F154" t="s">
        <v>15</v>
      </c>
      <c r="G154">
        <v>18669</v>
      </c>
      <c r="H154" t="s">
        <v>13</v>
      </c>
      <c r="I154" s="9" t="str">
        <f>LEFT(RIGHT(Acrescentar1[[#This Row],[Nr_Doc]],4 ),2) &amp; ":" &amp; RIGHT(Acrescentar1[[#This Row],[Nr_Doc]],2)</f>
        <v>12:23</v>
      </c>
      <c r="J154" t="str">
        <f>IF(Acrescentar1[[#This Row],[Historico]]="COMPRA",VLOOKUP(Acrescentar1[[#This Row],[Coluna1]],$P$2:$T$400,4,0),Acrescentar1[[#This Row],[Historico]])</f>
        <v>COMERCIAL MOURA</v>
      </c>
    </row>
    <row r="155" spans="1:10" x14ac:dyDescent="0.3">
      <c r="A155">
        <v>1</v>
      </c>
      <c r="B155" s="1">
        <v>45614</v>
      </c>
      <c r="C155" s="1" t="str">
        <f>VLOOKUP(MONTH(Acrescentar1[[#This Row],[Data_Mov]]),$X$1:$Y$13,2,0)</f>
        <v>Novembro</v>
      </c>
      <c r="D155" s="31">
        <f>YEAR(Acrescentar1[[#This Row],[Data_Mov]])</f>
        <v>2024</v>
      </c>
      <c r="E155">
        <v>161655</v>
      </c>
      <c r="F155" t="s">
        <v>15</v>
      </c>
      <c r="G155">
        <v>776</v>
      </c>
      <c r="H155" t="s">
        <v>13</v>
      </c>
      <c r="I155" s="9" t="str">
        <f>LEFT(RIGHT(Acrescentar1[[#This Row],[Nr_Doc]],4 ),2) &amp; ":" &amp; RIGHT(Acrescentar1[[#This Row],[Nr_Doc]],2)</f>
        <v>16:55</v>
      </c>
      <c r="J155" t="str">
        <f>IF(Acrescentar1[[#This Row],[Historico]]="COMPRA",VLOOKUP(Acrescentar1[[#This Row],[Coluna1]],$P$2:$T$400,4,0),Acrescentar1[[#This Row],[Historico]])</f>
        <v>COMERCIAL MOURA</v>
      </c>
    </row>
    <row r="156" spans="1:10" x14ac:dyDescent="0.3">
      <c r="A156">
        <v>1</v>
      </c>
      <c r="B156" s="1">
        <v>45614</v>
      </c>
      <c r="C156" s="1" t="str">
        <f>VLOOKUP(MONTH(Acrescentar1[[#This Row],[Data_Mov]]),$X$1:$Y$13,2,0)</f>
        <v>Novembro</v>
      </c>
      <c r="D156" s="31">
        <f>YEAR(Acrescentar1[[#This Row],[Data_Mov]])</f>
        <v>2024</v>
      </c>
      <c r="E156">
        <v>171155</v>
      </c>
      <c r="F156" t="s">
        <v>15</v>
      </c>
      <c r="G156">
        <v>2266</v>
      </c>
      <c r="H156" t="s">
        <v>13</v>
      </c>
      <c r="I156" s="9" t="str">
        <f>LEFT(RIGHT(Acrescentar1[[#This Row],[Nr_Doc]],4 ),2) &amp; ":" &amp; RIGHT(Acrescentar1[[#This Row],[Nr_Doc]],2)</f>
        <v>11:55</v>
      </c>
      <c r="J156" t="str">
        <f>IF(Acrescentar1[[#This Row],[Historico]]="COMPRA",VLOOKUP(Acrescentar1[[#This Row],[Coluna1]],$P$2:$T$400,4,0),Acrescentar1[[#This Row],[Historico]])</f>
        <v>DIA FRANQUIA LJ 9</v>
      </c>
    </row>
    <row r="157" spans="1:10" x14ac:dyDescent="0.3">
      <c r="A157">
        <v>1</v>
      </c>
      <c r="B157" s="1">
        <v>45614</v>
      </c>
      <c r="C157" s="1" t="str">
        <f>VLOOKUP(MONTH(Acrescentar1[[#This Row],[Data_Mov]]),$X$1:$Y$13,2,0)</f>
        <v>Novembro</v>
      </c>
      <c r="D157" s="31">
        <f>YEAR(Acrescentar1[[#This Row],[Data_Mov]])</f>
        <v>2024</v>
      </c>
      <c r="E157">
        <v>172013</v>
      </c>
      <c r="F157" t="s">
        <v>19</v>
      </c>
      <c r="G157">
        <v>12700</v>
      </c>
      <c r="H157" t="s">
        <v>13</v>
      </c>
      <c r="I157" s="9" t="str">
        <f>LEFT(RIGHT(Acrescentar1[[#This Row],[Nr_Doc]],4 ),2) &amp; ":" &amp; RIGHT(Acrescentar1[[#This Row],[Nr_Doc]],2)</f>
        <v>20:13</v>
      </c>
      <c r="J157" t="str">
        <f>IF(Acrescentar1[[#This Row],[Historico]]="COMPRA",VLOOKUP(Acrescentar1[[#This Row],[Coluna1]],$P$2:$T$400,4,0),Acrescentar1[[#This Row],[Historico]])</f>
        <v>ENVIO PIX</v>
      </c>
    </row>
    <row r="158" spans="1:10" x14ac:dyDescent="0.3">
      <c r="A158">
        <v>1</v>
      </c>
      <c r="B158" s="1">
        <v>45614</v>
      </c>
      <c r="C158" s="1" t="str">
        <f>VLOOKUP(MONTH(Acrescentar1[[#This Row],[Data_Mov]]),$X$1:$Y$13,2,0)</f>
        <v>Novembro</v>
      </c>
      <c r="D158" s="31">
        <f>YEAR(Acrescentar1[[#This Row],[Data_Mov]])</f>
        <v>2024</v>
      </c>
      <c r="E158">
        <v>181043</v>
      </c>
      <c r="F158" t="s">
        <v>14</v>
      </c>
      <c r="G158">
        <v>400</v>
      </c>
      <c r="H158" t="s">
        <v>13</v>
      </c>
      <c r="I158" s="9" t="str">
        <f>LEFT(RIGHT(Acrescentar1[[#This Row],[Nr_Doc]],4 ),2) &amp; ":" &amp; RIGHT(Acrescentar1[[#This Row],[Nr_Doc]],2)</f>
        <v>10:43</v>
      </c>
      <c r="J158" t="str">
        <f>IF(Acrescentar1[[#This Row],[Historico]]="COMPRA",VLOOKUP(Acrescentar1[[#This Row],[Coluna1]],$P$2:$T$400,4,0),Acrescentar1[[#This Row],[Historico]])</f>
        <v>DEB WHATS</v>
      </c>
    </row>
    <row r="159" spans="1:10" x14ac:dyDescent="0.3">
      <c r="A159">
        <v>1</v>
      </c>
      <c r="B159" s="1">
        <v>45614</v>
      </c>
      <c r="C159" s="1" t="str">
        <f>VLOOKUP(MONTH(Acrescentar1[[#This Row],[Data_Mov]]),$X$1:$Y$13,2,0)</f>
        <v>Novembro</v>
      </c>
      <c r="D159" s="31">
        <f>YEAR(Acrescentar1[[#This Row],[Data_Mov]])</f>
        <v>2024</v>
      </c>
      <c r="E159">
        <v>181833</v>
      </c>
      <c r="F159" t="s">
        <v>15</v>
      </c>
      <c r="G159">
        <v>998</v>
      </c>
      <c r="H159" t="s">
        <v>13</v>
      </c>
      <c r="I159" s="9" t="str">
        <f>LEFT(RIGHT(Acrescentar1[[#This Row],[Nr_Doc]],4 ),2) &amp; ":" &amp; RIGHT(Acrescentar1[[#This Row],[Nr_Doc]],2)</f>
        <v>18:33</v>
      </c>
      <c r="J159" t="str">
        <f>IF(Acrescentar1[[#This Row],[Historico]]="COMPRA",VLOOKUP(Acrescentar1[[#This Row],[Coluna1]],$P$2:$T$400,4,0),Acrescentar1[[#This Row],[Historico]])</f>
        <v>DIA FRANQUIA LJ 9</v>
      </c>
    </row>
    <row r="160" spans="1:10" x14ac:dyDescent="0.3">
      <c r="A160">
        <v>1</v>
      </c>
      <c r="B160" s="1">
        <v>45614</v>
      </c>
      <c r="C160" s="1" t="str">
        <f>VLOOKUP(MONTH(Acrescentar1[[#This Row],[Data_Mov]]),$X$1:$Y$13,2,0)</f>
        <v>Novembro</v>
      </c>
      <c r="D160" s="31">
        <f>YEAR(Acrescentar1[[#This Row],[Data_Mov]])</f>
        <v>2024</v>
      </c>
      <c r="E160">
        <v>0</v>
      </c>
      <c r="F160" t="s">
        <v>18</v>
      </c>
      <c r="G160">
        <v>0</v>
      </c>
      <c r="H160" t="s">
        <v>13</v>
      </c>
      <c r="I160" s="9" t="str">
        <f>LEFT(RIGHT(Acrescentar1[[#This Row],[Nr_Doc]],4 ),2) &amp; ":" &amp; RIGHT(Acrescentar1[[#This Row],[Nr_Doc]],2)</f>
        <v>0:0</v>
      </c>
      <c r="J160" t="str">
        <f>IF(Acrescentar1[[#This Row],[Historico]]="COMPRA",VLOOKUP(Acrescentar1[[#This Row],[Coluna1]],$P$2:$T$400,4,0),Acrescentar1[[#This Row],[Historico]])</f>
        <v>SALDO DIA</v>
      </c>
    </row>
    <row r="161" spans="1:10" x14ac:dyDescent="0.3">
      <c r="A161">
        <v>1</v>
      </c>
      <c r="B161" s="1">
        <v>45615</v>
      </c>
      <c r="C161" s="1" t="str">
        <f>VLOOKUP(MONTH(Acrescentar1[[#This Row],[Data_Mov]]),$X$1:$Y$13,2,0)</f>
        <v>Novembro</v>
      </c>
      <c r="D161" s="31">
        <f>YEAR(Acrescentar1[[#This Row],[Data_Mov]])</f>
        <v>2024</v>
      </c>
      <c r="E161">
        <v>190810</v>
      </c>
      <c r="F161" t="s">
        <v>15</v>
      </c>
      <c r="G161">
        <v>1100</v>
      </c>
      <c r="H161" t="s">
        <v>13</v>
      </c>
      <c r="I161" s="9" t="str">
        <f>LEFT(RIGHT(Acrescentar1[[#This Row],[Nr_Doc]],4 ),2) &amp; ":" &amp; RIGHT(Acrescentar1[[#This Row],[Nr_Doc]],2)</f>
        <v>08:10</v>
      </c>
      <c r="J161" t="str">
        <f>IF(Acrescentar1[[#This Row],[Historico]]="COMPRA",VLOOKUP(Acrescentar1[[#This Row],[Coluna1]],$P$2:$T$400,4,0),Acrescentar1[[#This Row],[Historico]])</f>
        <v>AutoPostoRecanto</v>
      </c>
    </row>
    <row r="162" spans="1:10" x14ac:dyDescent="0.3">
      <c r="A162">
        <v>1</v>
      </c>
      <c r="B162" s="1">
        <v>45615</v>
      </c>
      <c r="C162" s="1" t="str">
        <f>VLOOKUP(MONTH(Acrescentar1[[#This Row],[Data_Mov]]),$X$1:$Y$13,2,0)</f>
        <v>Novembro</v>
      </c>
      <c r="D162" s="31">
        <f>YEAR(Acrescentar1[[#This Row],[Data_Mov]])</f>
        <v>2024</v>
      </c>
      <c r="E162">
        <v>350600</v>
      </c>
      <c r="F162" t="s">
        <v>32</v>
      </c>
      <c r="G162">
        <v>5000</v>
      </c>
      <c r="H162" t="s">
        <v>21</v>
      </c>
      <c r="I162" s="9" t="str">
        <f>LEFT(RIGHT(Acrescentar1[[#This Row],[Nr_Doc]],4 ),2) &amp; ":" &amp; RIGHT(Acrescentar1[[#This Row],[Nr_Doc]],2)</f>
        <v>06:00</v>
      </c>
      <c r="J162" t="str">
        <f>IF(Acrescentar1[[#This Row],[Historico]]="COMPRA",VLOOKUP(Acrescentar1[[#This Row],[Coluna1]],$P$2:$T$400,4,0),Acrescentar1[[#This Row],[Historico]])</f>
        <v>DEP DIN AG</v>
      </c>
    </row>
    <row r="163" spans="1:10" x14ac:dyDescent="0.3">
      <c r="A163">
        <v>1</v>
      </c>
      <c r="B163" s="1">
        <v>45615</v>
      </c>
      <c r="C163" s="1" t="str">
        <f>VLOOKUP(MONTH(Acrescentar1[[#This Row],[Data_Mov]]),$X$1:$Y$13,2,0)</f>
        <v>Novembro</v>
      </c>
      <c r="D163" s="31">
        <f>YEAR(Acrescentar1[[#This Row],[Data_Mov]])</f>
        <v>2024</v>
      </c>
      <c r="E163">
        <v>191757</v>
      </c>
      <c r="F163" t="s">
        <v>15</v>
      </c>
      <c r="G163">
        <v>5000</v>
      </c>
      <c r="H163" t="s">
        <v>13</v>
      </c>
      <c r="I163" s="9" t="str">
        <f>LEFT(RIGHT(Acrescentar1[[#This Row],[Nr_Doc]],4 ),2) &amp; ":" &amp; RIGHT(Acrescentar1[[#This Row],[Nr_Doc]],2)</f>
        <v>17:57</v>
      </c>
      <c r="J163" t="str">
        <f>IF(Acrescentar1[[#This Row],[Historico]]="COMPRA",VLOOKUP(Acrescentar1[[#This Row],[Coluna1]],$P$2:$T$400,4,0),Acrescentar1[[#This Row],[Historico]])</f>
        <v>PParada</v>
      </c>
    </row>
    <row r="164" spans="1:10" x14ac:dyDescent="0.3">
      <c r="A164">
        <v>1</v>
      </c>
      <c r="B164" s="1">
        <v>45615</v>
      </c>
      <c r="C164" s="1" t="str">
        <f>VLOOKUP(MONTH(Acrescentar1[[#This Row],[Data_Mov]]),$X$1:$Y$13,2,0)</f>
        <v>Novembro</v>
      </c>
      <c r="D164" s="31">
        <f>YEAR(Acrescentar1[[#This Row],[Data_Mov]])</f>
        <v>2024</v>
      </c>
      <c r="E164">
        <v>0</v>
      </c>
      <c r="F164" t="s">
        <v>18</v>
      </c>
      <c r="G164">
        <v>0</v>
      </c>
      <c r="H164" t="s">
        <v>13</v>
      </c>
      <c r="I164" s="9" t="str">
        <f>LEFT(RIGHT(Acrescentar1[[#This Row],[Nr_Doc]],4 ),2) &amp; ":" &amp; RIGHT(Acrescentar1[[#This Row],[Nr_Doc]],2)</f>
        <v>0:0</v>
      </c>
      <c r="J164" t="str">
        <f>IF(Acrescentar1[[#This Row],[Historico]]="COMPRA",VLOOKUP(Acrescentar1[[#This Row],[Coluna1]],$P$2:$T$400,4,0),Acrescentar1[[#This Row],[Historico]])</f>
        <v>SALDO DIA</v>
      </c>
    </row>
    <row r="165" spans="1:10" x14ac:dyDescent="0.3">
      <c r="A165">
        <v>1</v>
      </c>
      <c r="B165" s="1">
        <v>45617</v>
      </c>
      <c r="C165" s="1" t="str">
        <f>VLOOKUP(MONTH(Acrescentar1[[#This Row],[Data_Mov]]),$X$1:$Y$13,2,0)</f>
        <v>Novembro</v>
      </c>
      <c r="D165" s="31">
        <f>YEAR(Acrescentar1[[#This Row],[Data_Mov]])</f>
        <v>2024</v>
      </c>
      <c r="E165">
        <v>0</v>
      </c>
      <c r="F165" t="s">
        <v>94</v>
      </c>
      <c r="G165">
        <v>801739</v>
      </c>
      <c r="H165" t="s">
        <v>21</v>
      </c>
      <c r="I165" s="9" t="str">
        <f>LEFT(RIGHT(Acrescentar1[[#This Row],[Nr_Doc]],4 ),2) &amp; ":" &amp; RIGHT(Acrescentar1[[#This Row],[Nr_Doc]],2)</f>
        <v>0:0</v>
      </c>
      <c r="J165" t="str">
        <f>IF(Acrescentar1[[#This Row],[Historico]]="COMPRA",VLOOKUP(Acrescentar1[[#This Row],[Coluna1]],$P$2:$T$400,4,0),Acrescentar1[[#This Row],[Historico]])</f>
        <v>SALARIO</v>
      </c>
    </row>
    <row r="166" spans="1:10" x14ac:dyDescent="0.3">
      <c r="A166">
        <v>1</v>
      </c>
      <c r="B166" s="1">
        <v>45617</v>
      </c>
      <c r="C166" s="1" t="str">
        <f>VLOOKUP(MONTH(Acrescentar1[[#This Row],[Data_Mov]]),$X$1:$Y$13,2,0)</f>
        <v>Novembro</v>
      </c>
      <c r="D166" s="31">
        <f>YEAR(Acrescentar1[[#This Row],[Data_Mov]])</f>
        <v>2024</v>
      </c>
      <c r="E166">
        <v>0</v>
      </c>
      <c r="F166" t="s">
        <v>27</v>
      </c>
      <c r="G166">
        <v>56175</v>
      </c>
      <c r="H166" t="s">
        <v>13</v>
      </c>
      <c r="I166" s="9" t="str">
        <f>LEFT(RIGHT(Acrescentar1[[#This Row],[Nr_Doc]],4 ),2) &amp; ":" &amp; RIGHT(Acrescentar1[[#This Row],[Nr_Doc]],2)</f>
        <v>0:0</v>
      </c>
      <c r="J166" t="str">
        <f>IF(Acrescentar1[[#This Row],[Historico]]="COMPRA",VLOOKUP(Acrescentar1[[#This Row],[Coluna1]],$P$2:$T$400,4,0),Acrescentar1[[#This Row],[Historico]])</f>
        <v>PREST CDC</v>
      </c>
    </row>
    <row r="167" spans="1:10" x14ac:dyDescent="0.3">
      <c r="A167">
        <v>1</v>
      </c>
      <c r="B167" s="1">
        <v>45617</v>
      </c>
      <c r="C167" s="1" t="str">
        <f>VLOOKUP(MONTH(Acrescentar1[[#This Row],[Data_Mov]]),$X$1:$Y$13,2,0)</f>
        <v>Novembro</v>
      </c>
      <c r="D167" s="31">
        <f>YEAR(Acrescentar1[[#This Row],[Data_Mov]])</f>
        <v>2024</v>
      </c>
      <c r="E167">
        <v>201059</v>
      </c>
      <c r="F167" t="s">
        <v>12</v>
      </c>
      <c r="G167">
        <v>635000</v>
      </c>
      <c r="H167" t="s">
        <v>13</v>
      </c>
      <c r="I167" s="9" t="str">
        <f>LEFT(RIGHT(Acrescentar1[[#This Row],[Nr_Doc]],4 ),2) &amp; ":" &amp; RIGHT(Acrescentar1[[#This Row],[Nr_Doc]],2)</f>
        <v>10:59</v>
      </c>
      <c r="J167" t="str">
        <f>IF(Acrescentar1[[#This Row],[Historico]]="COMPRA",VLOOKUP(Acrescentar1[[#This Row],[Coluna1]],$P$2:$T$400,4,0),Acrescentar1[[#This Row],[Historico]])</f>
        <v>DB AP POUP</v>
      </c>
    </row>
    <row r="168" spans="1:10" x14ac:dyDescent="0.3">
      <c r="A168">
        <v>1</v>
      </c>
      <c r="B168" s="1">
        <v>45617</v>
      </c>
      <c r="C168" s="1" t="str">
        <f>VLOOKUP(MONTH(Acrescentar1[[#This Row],[Data_Mov]]),$X$1:$Y$13,2,0)</f>
        <v>Novembro</v>
      </c>
      <c r="D168" s="31">
        <f>YEAR(Acrescentar1[[#This Row],[Data_Mov]])</f>
        <v>2024</v>
      </c>
      <c r="E168">
        <v>201423</v>
      </c>
      <c r="F168" t="s">
        <v>15</v>
      </c>
      <c r="G168">
        <v>65899</v>
      </c>
      <c r="H168" t="s">
        <v>13</v>
      </c>
      <c r="I168" s="9" t="str">
        <f>LEFT(RIGHT(Acrescentar1[[#This Row],[Nr_Doc]],4 ),2) &amp; ":" &amp; RIGHT(Acrescentar1[[#This Row],[Nr_Doc]],2)</f>
        <v>14:23</v>
      </c>
      <c r="J168" t="str">
        <f>IF(Acrescentar1[[#This Row],[Historico]]="COMPRA",VLOOKUP(Acrescentar1[[#This Row],[Coluna1]],$P$2:$T$400,4,0),Acrescentar1[[#This Row],[Historico]])</f>
        <v>ATACADAO 633 AS</v>
      </c>
    </row>
    <row r="169" spans="1:10" x14ac:dyDescent="0.3">
      <c r="A169">
        <v>1</v>
      </c>
      <c r="B169" s="1">
        <v>45617</v>
      </c>
      <c r="C169" s="1" t="str">
        <f>VLOOKUP(MONTH(Acrescentar1[[#This Row],[Data_Mov]]),$X$1:$Y$13,2,0)</f>
        <v>Novembro</v>
      </c>
      <c r="D169" s="31">
        <f>YEAR(Acrescentar1[[#This Row],[Data_Mov]])</f>
        <v>2024</v>
      </c>
      <c r="E169">
        <v>201605</v>
      </c>
      <c r="F169" t="s">
        <v>15</v>
      </c>
      <c r="G169">
        <v>10000</v>
      </c>
      <c r="H169" t="s">
        <v>13</v>
      </c>
      <c r="I169" s="9" t="str">
        <f>LEFT(RIGHT(Acrescentar1[[#This Row],[Nr_Doc]],4 ),2) &amp; ":" &amp; RIGHT(Acrescentar1[[#This Row],[Nr_Doc]],2)</f>
        <v>16:05</v>
      </c>
      <c r="J169" t="str">
        <f>IF(Acrescentar1[[#This Row],[Historico]]="COMPRA",VLOOKUP(Acrescentar1[[#This Row],[Coluna1]],$P$2:$T$400,4,0),Acrescentar1[[#This Row],[Historico]])</f>
        <v>SAO JOAO CONVENIENCIA</v>
      </c>
    </row>
    <row r="170" spans="1:10" x14ac:dyDescent="0.3">
      <c r="A170">
        <v>1</v>
      </c>
      <c r="B170" s="1">
        <v>45617</v>
      </c>
      <c r="C170" s="1" t="str">
        <f>VLOOKUP(MONTH(Acrescentar1[[#This Row],[Data_Mov]]),$X$1:$Y$13,2,0)</f>
        <v>Novembro</v>
      </c>
      <c r="D170" s="31">
        <f>YEAR(Acrescentar1[[#This Row],[Data_Mov]])</f>
        <v>2024</v>
      </c>
      <c r="E170">
        <v>201835</v>
      </c>
      <c r="F170" t="s">
        <v>19</v>
      </c>
      <c r="G170">
        <v>8729</v>
      </c>
      <c r="H170" t="s">
        <v>13</v>
      </c>
      <c r="I170" s="9" t="str">
        <f>LEFT(RIGHT(Acrescentar1[[#This Row],[Nr_Doc]],4 ),2) &amp; ":" &amp; RIGHT(Acrescentar1[[#This Row],[Nr_Doc]],2)</f>
        <v>18:35</v>
      </c>
      <c r="J170" t="str">
        <f>IF(Acrescentar1[[#This Row],[Historico]]="COMPRA",VLOOKUP(Acrescentar1[[#This Row],[Coluna1]],$P$2:$T$400,4,0),Acrescentar1[[#This Row],[Historico]])</f>
        <v>ENVIO PIX</v>
      </c>
    </row>
    <row r="171" spans="1:10" x14ac:dyDescent="0.3">
      <c r="A171">
        <v>1</v>
      </c>
      <c r="B171" s="1">
        <v>45617</v>
      </c>
      <c r="C171" s="1" t="str">
        <f>VLOOKUP(MONTH(Acrescentar1[[#This Row],[Data_Mov]]),$X$1:$Y$13,2,0)</f>
        <v>Novembro</v>
      </c>
      <c r="D171" s="31">
        <f>YEAR(Acrescentar1[[#This Row],[Data_Mov]])</f>
        <v>2024</v>
      </c>
      <c r="E171">
        <v>329493</v>
      </c>
      <c r="F171" t="s">
        <v>28</v>
      </c>
      <c r="G171">
        <v>7641</v>
      </c>
      <c r="H171" t="s">
        <v>13</v>
      </c>
      <c r="I171" s="9" t="str">
        <f>LEFT(RIGHT(Acrescentar1[[#This Row],[Nr_Doc]],4 ),2) &amp; ":" &amp; RIGHT(Acrescentar1[[#This Row],[Nr_Doc]],2)</f>
        <v>94:93</v>
      </c>
      <c r="J171" t="str">
        <f>IF(Acrescentar1[[#This Row],[Historico]]="COMPRA",VLOOKUP(Acrescentar1[[#This Row],[Coluna1]],$P$2:$T$400,4,0),Acrescentar1[[#This Row],[Historico]])</f>
        <v>SEGURADORA</v>
      </c>
    </row>
    <row r="172" spans="1:10" x14ac:dyDescent="0.3">
      <c r="A172">
        <v>1</v>
      </c>
      <c r="B172" s="1">
        <v>45617</v>
      </c>
      <c r="C172" s="1" t="str">
        <f>VLOOKUP(MONTH(Acrescentar1[[#This Row],[Data_Mov]]),$X$1:$Y$13,2,0)</f>
        <v>Novembro</v>
      </c>
      <c r="D172" s="31">
        <f>YEAR(Acrescentar1[[#This Row],[Data_Mov]])</f>
        <v>2024</v>
      </c>
      <c r="E172">
        <v>210707</v>
      </c>
      <c r="F172" t="s">
        <v>19</v>
      </c>
      <c r="G172">
        <v>3897</v>
      </c>
      <c r="H172" t="s">
        <v>13</v>
      </c>
      <c r="I172" s="9" t="str">
        <f>LEFT(RIGHT(Acrescentar1[[#This Row],[Nr_Doc]],4 ),2) &amp; ":" &amp; RIGHT(Acrescentar1[[#This Row],[Nr_Doc]],2)</f>
        <v>07:07</v>
      </c>
      <c r="J172" t="str">
        <f>IF(Acrescentar1[[#This Row],[Historico]]="COMPRA",VLOOKUP(Acrescentar1[[#This Row],[Coluna1]],$P$2:$T$400,4,0),Acrescentar1[[#This Row],[Historico]])</f>
        <v>ENVIO PIX</v>
      </c>
    </row>
    <row r="173" spans="1:10" x14ac:dyDescent="0.3">
      <c r="A173">
        <v>1</v>
      </c>
      <c r="B173" s="1">
        <v>45617</v>
      </c>
      <c r="C173" s="1" t="str">
        <f>VLOOKUP(MONTH(Acrescentar1[[#This Row],[Data_Mov]]),$X$1:$Y$13,2,0)</f>
        <v>Novembro</v>
      </c>
      <c r="D173" s="31">
        <f>YEAR(Acrescentar1[[#This Row],[Data_Mov]])</f>
        <v>2024</v>
      </c>
      <c r="E173">
        <v>210708</v>
      </c>
      <c r="F173" t="s">
        <v>19</v>
      </c>
      <c r="G173">
        <v>3889</v>
      </c>
      <c r="H173" t="s">
        <v>13</v>
      </c>
      <c r="I173" s="9" t="str">
        <f>LEFT(RIGHT(Acrescentar1[[#This Row],[Nr_Doc]],4 ),2) &amp; ":" &amp; RIGHT(Acrescentar1[[#This Row],[Nr_Doc]],2)</f>
        <v>07:08</v>
      </c>
      <c r="J173" t="str">
        <f>IF(Acrescentar1[[#This Row],[Historico]]="COMPRA",VLOOKUP(Acrescentar1[[#This Row],[Coluna1]],$P$2:$T$400,4,0),Acrescentar1[[#This Row],[Historico]])</f>
        <v>ENVIO PIX</v>
      </c>
    </row>
    <row r="174" spans="1:10" x14ac:dyDescent="0.3">
      <c r="A174">
        <v>1</v>
      </c>
      <c r="B174" s="1">
        <v>45617</v>
      </c>
      <c r="C174" s="1" t="str">
        <f>VLOOKUP(MONTH(Acrescentar1[[#This Row],[Data_Mov]]),$X$1:$Y$13,2,0)</f>
        <v>Novembro</v>
      </c>
      <c r="D174" s="31">
        <f>YEAR(Acrescentar1[[#This Row],[Data_Mov]])</f>
        <v>2024</v>
      </c>
      <c r="E174">
        <v>210852</v>
      </c>
      <c r="F174" t="s">
        <v>25</v>
      </c>
      <c r="G174">
        <v>500000</v>
      </c>
      <c r="H174" t="s">
        <v>21</v>
      </c>
      <c r="I174" s="9" t="str">
        <f>LEFT(RIGHT(Acrescentar1[[#This Row],[Nr_Doc]],4 ),2) &amp; ":" &amp; RIGHT(Acrescentar1[[#This Row],[Nr_Doc]],2)</f>
        <v>08:52</v>
      </c>
      <c r="J174" t="str">
        <f>IF(Acrescentar1[[#This Row],[Historico]]="COMPRA",VLOOKUP(Acrescentar1[[#This Row],[Coluna1]],$P$2:$T$400,4,0),Acrescentar1[[#This Row],[Historico]])</f>
        <v>CR RG POUP</v>
      </c>
    </row>
    <row r="175" spans="1:10" x14ac:dyDescent="0.3">
      <c r="A175">
        <v>1</v>
      </c>
      <c r="B175" s="1">
        <v>45617</v>
      </c>
      <c r="C175" s="1" t="str">
        <f>VLOOKUP(MONTH(Acrescentar1[[#This Row],[Data_Mov]]),$X$1:$Y$13,2,0)</f>
        <v>Novembro</v>
      </c>
      <c r="D175" s="31">
        <f>YEAR(Acrescentar1[[#This Row],[Data_Mov]])</f>
        <v>2024</v>
      </c>
      <c r="E175">
        <v>210901</v>
      </c>
      <c r="F175" t="s">
        <v>26</v>
      </c>
      <c r="G175">
        <v>249425</v>
      </c>
      <c r="H175" t="s">
        <v>13</v>
      </c>
      <c r="I175" s="9" t="str">
        <f>LEFT(RIGHT(Acrescentar1[[#This Row],[Nr_Doc]],4 ),2) &amp; ":" &amp; RIGHT(Acrescentar1[[#This Row],[Nr_Doc]],2)</f>
        <v>09:01</v>
      </c>
      <c r="J175" t="str">
        <f>IF(Acrescentar1[[#This Row],[Historico]]="COMPRA",VLOOKUP(Acrescentar1[[#This Row],[Coluna1]],$P$2:$T$400,4,0),Acrescentar1[[#This Row],[Historico]])</f>
        <v>PAG BOLETO</v>
      </c>
    </row>
    <row r="176" spans="1:10" x14ac:dyDescent="0.3">
      <c r="A176">
        <v>1</v>
      </c>
      <c r="B176" s="1">
        <v>45617</v>
      </c>
      <c r="C176" s="1" t="str">
        <f>VLOOKUP(MONTH(Acrescentar1[[#This Row],[Data_Mov]]),$X$1:$Y$13,2,0)</f>
        <v>Novembro</v>
      </c>
      <c r="D176" s="31">
        <f>YEAR(Acrescentar1[[#This Row],[Data_Mov]])</f>
        <v>2024</v>
      </c>
      <c r="E176">
        <v>210958</v>
      </c>
      <c r="F176" t="s">
        <v>26</v>
      </c>
      <c r="G176">
        <v>102198</v>
      </c>
      <c r="H176" t="s">
        <v>13</v>
      </c>
      <c r="I176" s="9" t="str">
        <f>LEFT(RIGHT(Acrescentar1[[#This Row],[Nr_Doc]],4 ),2) &amp; ":" &amp; RIGHT(Acrescentar1[[#This Row],[Nr_Doc]],2)</f>
        <v>09:58</v>
      </c>
      <c r="J176" t="str">
        <f>IF(Acrescentar1[[#This Row],[Historico]]="COMPRA",VLOOKUP(Acrescentar1[[#This Row],[Coluna1]],$P$2:$T$400,4,0),Acrescentar1[[#This Row],[Historico]])</f>
        <v>PAG BOLETO</v>
      </c>
    </row>
    <row r="177" spans="1:10" x14ac:dyDescent="0.3">
      <c r="A177">
        <v>1</v>
      </c>
      <c r="B177" s="1">
        <v>45617</v>
      </c>
      <c r="C177" s="1" t="str">
        <f>VLOOKUP(MONTH(Acrescentar1[[#This Row],[Data_Mov]]),$X$1:$Y$13,2,0)</f>
        <v>Novembro</v>
      </c>
      <c r="D177" s="31">
        <f>YEAR(Acrescentar1[[#This Row],[Data_Mov]])</f>
        <v>2024</v>
      </c>
      <c r="E177">
        <v>211001</v>
      </c>
      <c r="F177" t="s">
        <v>119</v>
      </c>
      <c r="G177">
        <v>11678</v>
      </c>
      <c r="H177" t="s">
        <v>13</v>
      </c>
      <c r="I177" s="9" t="str">
        <f>LEFT(RIGHT(Acrescentar1[[#This Row],[Nr_Doc]],4 ),2) &amp; ":" &amp; RIGHT(Acrescentar1[[#This Row],[Nr_Doc]],2)</f>
        <v>10:01</v>
      </c>
      <c r="J177" t="str">
        <f>IF(Acrescentar1[[#This Row],[Historico]]="COMPRA",VLOOKUP(Acrescentar1[[#This Row],[Coluna1]],$P$2:$T$400,4,0),Acrescentar1[[#This Row],[Historico]])</f>
        <v>PAG AGUA</v>
      </c>
    </row>
    <row r="178" spans="1:10" x14ac:dyDescent="0.3">
      <c r="A178">
        <v>1</v>
      </c>
      <c r="B178" s="1">
        <v>45617</v>
      </c>
      <c r="C178" s="1" t="str">
        <f>VLOOKUP(MONTH(Acrescentar1[[#This Row],[Data_Mov]]),$X$1:$Y$13,2,0)</f>
        <v>Novembro</v>
      </c>
      <c r="D178" s="31">
        <f>YEAR(Acrescentar1[[#This Row],[Data_Mov]])</f>
        <v>2024</v>
      </c>
      <c r="E178">
        <v>211005</v>
      </c>
      <c r="F178" t="s">
        <v>120</v>
      </c>
      <c r="G178">
        <v>28570</v>
      </c>
      <c r="H178" t="s">
        <v>13</v>
      </c>
      <c r="I178" s="9" t="str">
        <f>LEFT(RIGHT(Acrescentar1[[#This Row],[Nr_Doc]],4 ),2) &amp; ":" &amp; RIGHT(Acrescentar1[[#This Row],[Nr_Doc]],2)</f>
        <v>10:05</v>
      </c>
      <c r="J178" t="str">
        <f>IF(Acrescentar1[[#This Row],[Historico]]="COMPRA",VLOOKUP(Acrescentar1[[#This Row],[Coluna1]],$P$2:$T$400,4,0),Acrescentar1[[#This Row],[Historico]])</f>
        <v>PG LUZ/GAS</v>
      </c>
    </row>
    <row r="179" spans="1:10" x14ac:dyDescent="0.3">
      <c r="A179">
        <v>1</v>
      </c>
      <c r="B179" s="1">
        <v>45617</v>
      </c>
      <c r="C179" s="1" t="str">
        <f>VLOOKUP(MONTH(Acrescentar1[[#This Row],[Data_Mov]]),$X$1:$Y$13,2,0)</f>
        <v>Novembro</v>
      </c>
      <c r="D179" s="31">
        <f>YEAR(Acrescentar1[[#This Row],[Data_Mov]])</f>
        <v>2024</v>
      </c>
      <c r="E179">
        <v>211007</v>
      </c>
      <c r="F179" t="s">
        <v>19</v>
      </c>
      <c r="G179">
        <v>12990</v>
      </c>
      <c r="H179" t="s">
        <v>13</v>
      </c>
      <c r="I179" s="9" t="str">
        <f>LEFT(RIGHT(Acrescentar1[[#This Row],[Nr_Doc]],4 ),2) &amp; ":" &amp; RIGHT(Acrescentar1[[#This Row],[Nr_Doc]],2)</f>
        <v>10:07</v>
      </c>
      <c r="J179" t="str">
        <f>IF(Acrescentar1[[#This Row],[Historico]]="COMPRA",VLOOKUP(Acrescentar1[[#This Row],[Coluna1]],$P$2:$T$400,4,0),Acrescentar1[[#This Row],[Historico]])</f>
        <v>ENVIO PIX</v>
      </c>
    </row>
    <row r="180" spans="1:10" x14ac:dyDescent="0.3">
      <c r="A180">
        <v>1</v>
      </c>
      <c r="B180" s="1">
        <v>45617</v>
      </c>
      <c r="C180" s="1" t="str">
        <f>VLOOKUP(MONTH(Acrescentar1[[#This Row],[Data_Mov]]),$X$1:$Y$13,2,0)</f>
        <v>Novembro</v>
      </c>
      <c r="D180" s="31">
        <f>YEAR(Acrescentar1[[#This Row],[Data_Mov]])</f>
        <v>2024</v>
      </c>
      <c r="E180">
        <v>211011</v>
      </c>
      <c r="F180" t="s">
        <v>19</v>
      </c>
      <c r="G180">
        <v>70000</v>
      </c>
      <c r="H180" t="s">
        <v>13</v>
      </c>
      <c r="I180" s="9" t="str">
        <f>LEFT(RIGHT(Acrescentar1[[#This Row],[Nr_Doc]],4 ),2) &amp; ":" &amp; RIGHT(Acrescentar1[[#This Row],[Nr_Doc]],2)</f>
        <v>10:11</v>
      </c>
      <c r="J180" t="str">
        <f>IF(Acrescentar1[[#This Row],[Historico]]="COMPRA",VLOOKUP(Acrescentar1[[#This Row],[Coluna1]],$P$2:$T$400,4,0),Acrescentar1[[#This Row],[Historico]])</f>
        <v>ENVIO PIX</v>
      </c>
    </row>
    <row r="181" spans="1:10" x14ac:dyDescent="0.3">
      <c r="A181">
        <v>1</v>
      </c>
      <c r="B181" s="1">
        <v>45617</v>
      </c>
      <c r="C181" s="1" t="str">
        <f>VLOOKUP(MONTH(Acrescentar1[[#This Row],[Data_Mov]]),$X$1:$Y$13,2,0)</f>
        <v>Novembro</v>
      </c>
      <c r="D181" s="31">
        <f>YEAR(Acrescentar1[[#This Row],[Data_Mov]])</f>
        <v>2024</v>
      </c>
      <c r="E181">
        <v>211013</v>
      </c>
      <c r="F181" t="s">
        <v>25</v>
      </c>
      <c r="G181">
        <v>75000</v>
      </c>
      <c r="H181" t="s">
        <v>21</v>
      </c>
      <c r="I181" s="9" t="str">
        <f>LEFT(RIGHT(Acrescentar1[[#This Row],[Nr_Doc]],4 ),2) &amp; ":" &amp; RIGHT(Acrescentar1[[#This Row],[Nr_Doc]],2)</f>
        <v>10:13</v>
      </c>
      <c r="J181" t="str">
        <f>IF(Acrescentar1[[#This Row],[Historico]]="COMPRA",VLOOKUP(Acrescentar1[[#This Row],[Coluna1]],$P$2:$T$400,4,0),Acrescentar1[[#This Row],[Historico]])</f>
        <v>CR RG POUP</v>
      </c>
    </row>
    <row r="182" spans="1:10" x14ac:dyDescent="0.3">
      <c r="A182">
        <v>1</v>
      </c>
      <c r="B182" s="1">
        <v>45617</v>
      </c>
      <c r="C182" s="1" t="str">
        <f>VLOOKUP(MONTH(Acrescentar1[[#This Row],[Data_Mov]]),$X$1:$Y$13,2,0)</f>
        <v>Novembro</v>
      </c>
      <c r="D182" s="31">
        <f>YEAR(Acrescentar1[[#This Row],[Data_Mov]])</f>
        <v>2024</v>
      </c>
      <c r="E182">
        <v>211449</v>
      </c>
      <c r="F182" t="s">
        <v>15</v>
      </c>
      <c r="G182">
        <v>1010</v>
      </c>
      <c r="H182" t="s">
        <v>13</v>
      </c>
      <c r="I182" s="9" t="str">
        <f>LEFT(RIGHT(Acrescentar1[[#This Row],[Nr_Doc]],4 ),2) &amp; ":" &amp; RIGHT(Acrescentar1[[#This Row],[Nr_Doc]],2)</f>
        <v>14:49</v>
      </c>
      <c r="J182" t="str">
        <f>IF(Acrescentar1[[#This Row],[Historico]]="COMPRA",VLOOKUP(Acrescentar1[[#This Row],[Coluna1]],$P$2:$T$400,4,0),Acrescentar1[[#This Row],[Historico]])</f>
        <v>CRB FPAY</v>
      </c>
    </row>
    <row r="183" spans="1:10" x14ac:dyDescent="0.3">
      <c r="A183">
        <v>1</v>
      </c>
      <c r="B183" s="1">
        <v>45617</v>
      </c>
      <c r="C183" s="1" t="str">
        <f>VLOOKUP(MONTH(Acrescentar1[[#This Row],[Data_Mov]]),$X$1:$Y$13,2,0)</f>
        <v>Novembro</v>
      </c>
      <c r="D183" s="31">
        <f>YEAR(Acrescentar1[[#This Row],[Data_Mov]])</f>
        <v>2024</v>
      </c>
      <c r="E183">
        <v>211652</v>
      </c>
      <c r="F183" t="s">
        <v>121</v>
      </c>
      <c r="G183">
        <v>50000</v>
      </c>
      <c r="H183" t="s">
        <v>13</v>
      </c>
      <c r="I183" s="9" t="str">
        <f>LEFT(RIGHT(Acrescentar1[[#This Row],[Nr_Doc]],4 ),2) &amp; ":" &amp; RIGHT(Acrescentar1[[#This Row],[Nr_Doc]],2)</f>
        <v>16:52</v>
      </c>
      <c r="J183" t="str">
        <f>IF(Acrescentar1[[#This Row],[Historico]]="COMPRA",VLOOKUP(Acrescentar1[[#This Row],[Coluna1]],$P$2:$T$400,4,0),Acrescentar1[[#This Row],[Historico]])</f>
        <v>SAQ RECIBO</v>
      </c>
    </row>
    <row r="184" spans="1:10" x14ac:dyDescent="0.3">
      <c r="A184">
        <v>1</v>
      </c>
      <c r="B184" s="1">
        <v>45617</v>
      </c>
      <c r="C184" s="1" t="str">
        <f>VLOOKUP(MONTH(Acrescentar1[[#This Row],[Data_Mov]]),$X$1:$Y$13,2,0)</f>
        <v>Novembro</v>
      </c>
      <c r="D184" s="31">
        <f>YEAR(Acrescentar1[[#This Row],[Data_Mov]])</f>
        <v>2024</v>
      </c>
      <c r="E184">
        <v>211804</v>
      </c>
      <c r="F184" t="s">
        <v>15</v>
      </c>
      <c r="G184">
        <v>10000</v>
      </c>
      <c r="H184" t="s">
        <v>13</v>
      </c>
      <c r="I184" s="9" t="str">
        <f>LEFT(RIGHT(Acrescentar1[[#This Row],[Nr_Doc]],4 ),2) &amp; ":" &amp; RIGHT(Acrescentar1[[#This Row],[Nr_Doc]],2)</f>
        <v>18:04</v>
      </c>
      <c r="J184" t="str">
        <f>IF(Acrescentar1[[#This Row],[Historico]]="COMPRA",VLOOKUP(Acrescentar1[[#This Row],[Coluna1]],$P$2:$T$400,4,0),Acrescentar1[[#This Row],[Historico]])</f>
        <v>PParada</v>
      </c>
    </row>
    <row r="185" spans="1:10" x14ac:dyDescent="0.3">
      <c r="A185">
        <v>1</v>
      </c>
      <c r="B185" s="1">
        <v>45617</v>
      </c>
      <c r="C185" s="1" t="str">
        <f>VLOOKUP(MONTH(Acrescentar1[[#This Row],[Data_Mov]]),$X$1:$Y$13,2,0)</f>
        <v>Novembro</v>
      </c>
      <c r="D185" s="31">
        <f>YEAR(Acrescentar1[[#This Row],[Data_Mov]])</f>
        <v>2024</v>
      </c>
      <c r="E185">
        <v>211847</v>
      </c>
      <c r="F185" t="s">
        <v>15</v>
      </c>
      <c r="G185">
        <v>3894</v>
      </c>
      <c r="H185" t="s">
        <v>13</v>
      </c>
      <c r="I185" s="9" t="str">
        <f>LEFT(RIGHT(Acrescentar1[[#This Row],[Nr_Doc]],4 ),2) &amp; ":" &amp; RIGHT(Acrescentar1[[#This Row],[Nr_Doc]],2)</f>
        <v>18:47</v>
      </c>
      <c r="J185" t="str">
        <f>IF(Acrescentar1[[#This Row],[Historico]]="COMPRA",VLOOKUP(Acrescentar1[[#This Row],[Coluna1]],$P$2:$T$400,4,0),Acrescentar1[[#This Row],[Historico]])</f>
        <v>DIA FRANQUIA LJ 9</v>
      </c>
    </row>
    <row r="186" spans="1:10" x14ac:dyDescent="0.3">
      <c r="A186">
        <v>1</v>
      </c>
      <c r="B186" s="1">
        <v>45617</v>
      </c>
      <c r="C186" s="1" t="str">
        <f>VLOOKUP(MONTH(Acrescentar1[[#This Row],[Data_Mov]]),$X$1:$Y$13,2,0)</f>
        <v>Novembro</v>
      </c>
      <c r="D186" s="31">
        <f>YEAR(Acrescentar1[[#This Row],[Data_Mov]])</f>
        <v>2024</v>
      </c>
      <c r="E186">
        <v>0</v>
      </c>
      <c r="F186" t="s">
        <v>18</v>
      </c>
      <c r="G186">
        <v>0</v>
      </c>
      <c r="H186" t="s">
        <v>13</v>
      </c>
      <c r="I186" s="9" t="str">
        <f>LEFT(RIGHT(Acrescentar1[[#This Row],[Nr_Doc]],4 ),2) &amp; ":" &amp; RIGHT(Acrescentar1[[#This Row],[Nr_Doc]],2)</f>
        <v>0:0</v>
      </c>
      <c r="J186" t="str">
        <f>IF(Acrescentar1[[#This Row],[Historico]]="COMPRA",VLOOKUP(Acrescentar1[[#This Row],[Coluna1]],$P$2:$T$400,4,0),Acrescentar1[[#This Row],[Historico]])</f>
        <v>SALDO DIA</v>
      </c>
    </row>
    <row r="187" spans="1:10" x14ac:dyDescent="0.3">
      <c r="A187">
        <v>1</v>
      </c>
      <c r="B187" s="1">
        <v>45618</v>
      </c>
      <c r="C187" s="1" t="str">
        <f>VLOOKUP(MONTH(Acrescentar1[[#This Row],[Data_Mov]]),$X$1:$Y$13,2,0)</f>
        <v>Novembro</v>
      </c>
      <c r="D187" s="31">
        <f>YEAR(Acrescentar1[[#This Row],[Data_Mov]])</f>
        <v>2024</v>
      </c>
      <c r="E187">
        <v>221617</v>
      </c>
      <c r="F187" t="s">
        <v>14</v>
      </c>
      <c r="G187">
        <v>2800</v>
      </c>
      <c r="H187" t="s">
        <v>13</v>
      </c>
      <c r="I187" s="9" t="str">
        <f>LEFT(RIGHT(Acrescentar1[[#This Row],[Nr_Doc]],4 ),2) &amp; ":" &amp; RIGHT(Acrescentar1[[#This Row],[Nr_Doc]],2)</f>
        <v>16:17</v>
      </c>
      <c r="J187" t="str">
        <f>IF(Acrescentar1[[#This Row],[Historico]]="COMPRA",VLOOKUP(Acrescentar1[[#This Row],[Coluna1]],$P$2:$T$400,4,0),Acrescentar1[[#This Row],[Historico]])</f>
        <v>DEB WHATS</v>
      </c>
    </row>
    <row r="188" spans="1:10" x14ac:dyDescent="0.3">
      <c r="A188">
        <v>1</v>
      </c>
      <c r="B188" s="1">
        <v>45618</v>
      </c>
      <c r="C188" s="1" t="str">
        <f>VLOOKUP(MONTH(Acrescentar1[[#This Row],[Data_Mov]]),$X$1:$Y$13,2,0)</f>
        <v>Novembro</v>
      </c>
      <c r="D188" s="31">
        <f>YEAR(Acrescentar1[[#This Row],[Data_Mov]])</f>
        <v>2024</v>
      </c>
      <c r="E188">
        <v>0</v>
      </c>
      <c r="F188" t="s">
        <v>18</v>
      </c>
      <c r="G188">
        <v>0</v>
      </c>
      <c r="H188" t="s">
        <v>13</v>
      </c>
      <c r="I188" s="9" t="str">
        <f>LEFT(RIGHT(Acrescentar1[[#This Row],[Nr_Doc]],4 ),2) &amp; ":" &amp; RIGHT(Acrescentar1[[#This Row],[Nr_Doc]],2)</f>
        <v>0:0</v>
      </c>
      <c r="J188" t="str">
        <f>IF(Acrescentar1[[#This Row],[Historico]]="COMPRA",VLOOKUP(Acrescentar1[[#This Row],[Coluna1]],$P$2:$T$400,4,0),Acrescentar1[[#This Row],[Historico]])</f>
        <v>SALDO DIA</v>
      </c>
    </row>
    <row r="189" spans="1:10" x14ac:dyDescent="0.3">
      <c r="A189">
        <v>1</v>
      </c>
      <c r="B189" s="1">
        <v>45621</v>
      </c>
      <c r="C189" s="1" t="str">
        <f>VLOOKUP(MONTH(Acrescentar1[[#This Row],[Data_Mov]]),$X$1:$Y$13,2,0)</f>
        <v>Novembro</v>
      </c>
      <c r="D189" s="31">
        <f>YEAR(Acrescentar1[[#This Row],[Data_Mov]])</f>
        <v>2024</v>
      </c>
      <c r="E189">
        <v>230753</v>
      </c>
      <c r="F189" t="s">
        <v>15</v>
      </c>
      <c r="G189">
        <v>4490</v>
      </c>
      <c r="H189" t="s">
        <v>13</v>
      </c>
      <c r="I189" s="9" t="str">
        <f>LEFT(RIGHT(Acrescentar1[[#This Row],[Nr_Doc]],4 ),2) &amp; ":" &amp; RIGHT(Acrescentar1[[#This Row],[Nr_Doc]],2)</f>
        <v>07:53</v>
      </c>
      <c r="J189" t="str">
        <f>IF(Acrescentar1[[#This Row],[Historico]]="COMPRA",VLOOKUP(Acrescentar1[[#This Row],[Coluna1]],$P$2:$T$400,4,0),Acrescentar1[[#This Row],[Historico]])</f>
        <v>NETFLIX.COM</v>
      </c>
    </row>
    <row r="190" spans="1:10" x14ac:dyDescent="0.3">
      <c r="A190">
        <v>1</v>
      </c>
      <c r="B190" s="1">
        <v>45621</v>
      </c>
      <c r="C190" s="1" t="str">
        <f>VLOOKUP(MONTH(Acrescentar1[[#This Row],[Data_Mov]]),$X$1:$Y$13,2,0)</f>
        <v>Novembro</v>
      </c>
      <c r="D190" s="31">
        <f>YEAR(Acrescentar1[[#This Row],[Data_Mov]])</f>
        <v>2024</v>
      </c>
      <c r="E190">
        <v>232202</v>
      </c>
      <c r="F190" t="s">
        <v>15</v>
      </c>
      <c r="G190">
        <v>11000</v>
      </c>
      <c r="H190" t="s">
        <v>13</v>
      </c>
      <c r="I190" s="9" t="str">
        <f>LEFT(RIGHT(Acrescentar1[[#This Row],[Nr_Doc]],4 ),2) &amp; ":" &amp; RIGHT(Acrescentar1[[#This Row],[Nr_Doc]],2)</f>
        <v>22:02</v>
      </c>
      <c r="J190" t="str">
        <f>IF(Acrescentar1[[#This Row],[Historico]]="COMPRA",VLOOKUP(Acrescentar1[[#This Row],[Coluna1]],$P$2:$T$400,4,0),Acrescentar1[[#This Row],[Historico]])</f>
        <v>PIZZARIA CHOPERIA AVE</v>
      </c>
    </row>
    <row r="191" spans="1:10" x14ac:dyDescent="0.3">
      <c r="A191">
        <v>1</v>
      </c>
      <c r="B191" s="1">
        <v>45621</v>
      </c>
      <c r="C191" s="1" t="str">
        <f>VLOOKUP(MONTH(Acrescentar1[[#This Row],[Data_Mov]]),$X$1:$Y$13,2,0)</f>
        <v>Novembro</v>
      </c>
      <c r="D191" s="31">
        <f>YEAR(Acrescentar1[[#This Row],[Data_Mov]])</f>
        <v>2024</v>
      </c>
      <c r="E191">
        <v>232227</v>
      </c>
      <c r="F191" t="s">
        <v>20</v>
      </c>
      <c r="G191">
        <v>5500</v>
      </c>
      <c r="H191" t="s">
        <v>21</v>
      </c>
      <c r="I191" s="9" t="str">
        <f>LEFT(RIGHT(Acrescentar1[[#This Row],[Nr_Doc]],4 ),2) &amp; ":" &amp; RIGHT(Acrescentar1[[#This Row],[Nr_Doc]],2)</f>
        <v>22:27</v>
      </c>
      <c r="J191" t="str">
        <f>IF(Acrescentar1[[#This Row],[Historico]]="COMPRA",VLOOKUP(Acrescentar1[[#This Row],[Coluna1]],$P$2:$T$400,4,0),Acrescentar1[[#This Row],[Historico]])</f>
        <v>CRED PIX</v>
      </c>
    </row>
    <row r="192" spans="1:10" x14ac:dyDescent="0.3">
      <c r="A192">
        <v>1</v>
      </c>
      <c r="B192" s="1">
        <v>45621</v>
      </c>
      <c r="C192" s="1" t="str">
        <f>VLOOKUP(MONTH(Acrescentar1[[#This Row],[Data_Mov]]),$X$1:$Y$13,2,0)</f>
        <v>Novembro</v>
      </c>
      <c r="D192" s="31">
        <f>YEAR(Acrescentar1[[#This Row],[Data_Mov]])</f>
        <v>2024</v>
      </c>
      <c r="E192">
        <v>240827</v>
      </c>
      <c r="F192" t="s">
        <v>15</v>
      </c>
      <c r="G192">
        <v>4891</v>
      </c>
      <c r="H192" t="s">
        <v>13</v>
      </c>
      <c r="I192" s="9" t="str">
        <f>LEFT(RIGHT(Acrescentar1[[#This Row],[Nr_Doc]],4 ),2) &amp; ":" &amp; RIGHT(Acrescentar1[[#This Row],[Nr_Doc]],2)</f>
        <v>08:27</v>
      </c>
      <c r="J192" t="str">
        <f>IF(Acrescentar1[[#This Row],[Historico]]="COMPRA",VLOOKUP(Acrescentar1[[#This Row],[Coluna1]],$P$2:$T$400,4,0),Acrescentar1[[#This Row],[Historico]])</f>
        <v>DIA FRANQUIA LJ 9</v>
      </c>
    </row>
    <row r="193" spans="1:10" x14ac:dyDescent="0.3">
      <c r="A193">
        <v>1</v>
      </c>
      <c r="B193" s="1">
        <v>45621</v>
      </c>
      <c r="C193" s="1" t="str">
        <f>VLOOKUP(MONTH(Acrescentar1[[#This Row],[Data_Mov]]),$X$1:$Y$13,2,0)</f>
        <v>Novembro</v>
      </c>
      <c r="D193" s="31">
        <f>YEAR(Acrescentar1[[#This Row],[Data_Mov]])</f>
        <v>2024</v>
      </c>
      <c r="E193">
        <v>251811</v>
      </c>
      <c r="F193" t="s">
        <v>15</v>
      </c>
      <c r="G193">
        <v>10000</v>
      </c>
      <c r="H193" t="s">
        <v>13</v>
      </c>
      <c r="I193" s="9" t="str">
        <f>LEFT(RIGHT(Acrescentar1[[#This Row],[Nr_Doc]],4 ),2) &amp; ":" &amp; RIGHT(Acrescentar1[[#This Row],[Nr_Doc]],2)</f>
        <v>18:11</v>
      </c>
      <c r="J193" t="str">
        <f>IF(Acrescentar1[[#This Row],[Historico]]="COMPRA",VLOOKUP(Acrescentar1[[#This Row],[Coluna1]],$P$2:$T$400,4,0),Acrescentar1[[#This Row],[Historico]])</f>
        <v>PParada</v>
      </c>
    </row>
    <row r="194" spans="1:10" x14ac:dyDescent="0.3">
      <c r="A194">
        <v>1</v>
      </c>
      <c r="B194" s="1">
        <v>45621</v>
      </c>
      <c r="C194" s="1" t="str">
        <f>VLOOKUP(MONTH(Acrescentar1[[#This Row],[Data_Mov]]),$X$1:$Y$13,2,0)</f>
        <v>Novembro</v>
      </c>
      <c r="D194" s="31">
        <f>YEAR(Acrescentar1[[#This Row],[Data_Mov]])</f>
        <v>2024</v>
      </c>
      <c r="E194">
        <v>251851</v>
      </c>
      <c r="F194" t="s">
        <v>15</v>
      </c>
      <c r="G194">
        <v>2202</v>
      </c>
      <c r="H194" t="s">
        <v>13</v>
      </c>
      <c r="I194" s="9" t="str">
        <f>LEFT(RIGHT(Acrescentar1[[#This Row],[Nr_Doc]],4 ),2) &amp; ":" &amp; RIGHT(Acrescentar1[[#This Row],[Nr_Doc]],2)</f>
        <v>18:51</v>
      </c>
      <c r="J194" t="str">
        <f>IF(Acrescentar1[[#This Row],[Historico]]="COMPRA",VLOOKUP(Acrescentar1[[#This Row],[Coluna1]],$P$2:$T$400,4,0),Acrescentar1[[#This Row],[Historico]])</f>
        <v>DIA FRANQUIA LJ 9</v>
      </c>
    </row>
    <row r="195" spans="1:10" x14ac:dyDescent="0.3">
      <c r="A195">
        <v>1</v>
      </c>
      <c r="B195" s="1">
        <v>45621</v>
      </c>
      <c r="C195" s="1" t="str">
        <f>VLOOKUP(MONTH(Acrescentar1[[#This Row],[Data_Mov]]),$X$1:$Y$13,2,0)</f>
        <v>Novembro</v>
      </c>
      <c r="D195" s="31">
        <f>YEAR(Acrescentar1[[#This Row],[Data_Mov]])</f>
        <v>2024</v>
      </c>
      <c r="E195">
        <v>0</v>
      </c>
      <c r="F195" t="s">
        <v>18</v>
      </c>
      <c r="G195">
        <v>0</v>
      </c>
      <c r="H195" t="s">
        <v>13</v>
      </c>
      <c r="I195" s="9" t="str">
        <f>LEFT(RIGHT(Acrescentar1[[#This Row],[Nr_Doc]],4 ),2) &amp; ":" &amp; RIGHT(Acrescentar1[[#This Row],[Nr_Doc]],2)</f>
        <v>0:0</v>
      </c>
      <c r="J195" t="str">
        <f>IF(Acrescentar1[[#This Row],[Historico]]="COMPRA",VLOOKUP(Acrescentar1[[#This Row],[Coluna1]],$P$2:$T$400,4,0),Acrescentar1[[#This Row],[Historico]])</f>
        <v>SALDO DIA</v>
      </c>
    </row>
    <row r="196" spans="1:10" x14ac:dyDescent="0.3">
      <c r="A196">
        <v>1</v>
      </c>
      <c r="B196" s="1">
        <v>45622</v>
      </c>
      <c r="C196" s="1" t="str">
        <f>VLOOKUP(MONTH(Acrescentar1[[#This Row],[Data_Mov]]),$X$1:$Y$13,2,0)</f>
        <v>Novembro</v>
      </c>
      <c r="D196" s="31">
        <f>YEAR(Acrescentar1[[#This Row],[Data_Mov]])</f>
        <v>2024</v>
      </c>
      <c r="E196">
        <v>261150</v>
      </c>
      <c r="F196" t="s">
        <v>19</v>
      </c>
      <c r="G196">
        <v>1000</v>
      </c>
      <c r="H196" t="s">
        <v>13</v>
      </c>
      <c r="I196" s="9" t="str">
        <f>LEFT(RIGHT(Acrescentar1[[#This Row],[Nr_Doc]],4 ),2) &amp; ":" &amp; RIGHT(Acrescentar1[[#This Row],[Nr_Doc]],2)</f>
        <v>11:50</v>
      </c>
      <c r="J196" t="str">
        <f>IF(Acrescentar1[[#This Row],[Historico]]="COMPRA",VLOOKUP(Acrescentar1[[#This Row],[Coluna1]],$P$2:$T$400,4,0),Acrescentar1[[#This Row],[Historico]])</f>
        <v>ENVIO PIX</v>
      </c>
    </row>
    <row r="197" spans="1:10" x14ac:dyDescent="0.3">
      <c r="A197">
        <v>1</v>
      </c>
      <c r="B197" s="1">
        <v>45622</v>
      </c>
      <c r="C197" s="1" t="str">
        <f>VLOOKUP(MONTH(Acrescentar1[[#This Row],[Data_Mov]]),$X$1:$Y$13,2,0)</f>
        <v>Novembro</v>
      </c>
      <c r="D197" s="31">
        <f>YEAR(Acrescentar1[[#This Row],[Data_Mov]])</f>
        <v>2024</v>
      </c>
      <c r="E197">
        <v>261808</v>
      </c>
      <c r="F197" t="s">
        <v>14</v>
      </c>
      <c r="G197">
        <v>3000</v>
      </c>
      <c r="H197" t="s">
        <v>13</v>
      </c>
      <c r="I197" s="9" t="str">
        <f>LEFT(RIGHT(Acrescentar1[[#This Row],[Nr_Doc]],4 ),2) &amp; ":" &amp; RIGHT(Acrescentar1[[#This Row],[Nr_Doc]],2)</f>
        <v>18:08</v>
      </c>
      <c r="J197" t="str">
        <f>IF(Acrescentar1[[#This Row],[Historico]]="COMPRA",VLOOKUP(Acrescentar1[[#This Row],[Coluna1]],$P$2:$T$400,4,0),Acrescentar1[[#This Row],[Historico]])</f>
        <v>DEB WHATS</v>
      </c>
    </row>
    <row r="198" spans="1:10" x14ac:dyDescent="0.3">
      <c r="A198">
        <v>1</v>
      </c>
      <c r="B198" s="1">
        <v>45622</v>
      </c>
      <c r="C198" s="1" t="str">
        <f>VLOOKUP(MONTH(Acrescentar1[[#This Row],[Data_Mov]]),$X$1:$Y$13,2,0)</f>
        <v>Novembro</v>
      </c>
      <c r="D198" s="31">
        <f>YEAR(Acrescentar1[[#This Row],[Data_Mov]])</f>
        <v>2024</v>
      </c>
      <c r="E198">
        <v>261948</v>
      </c>
      <c r="F198" t="s">
        <v>15</v>
      </c>
      <c r="G198">
        <v>3472</v>
      </c>
      <c r="H198" t="s">
        <v>13</v>
      </c>
      <c r="I198" s="9" t="str">
        <f>LEFT(RIGHT(Acrescentar1[[#This Row],[Nr_Doc]],4 ),2) &amp; ":" &amp; RIGHT(Acrescentar1[[#This Row],[Nr_Doc]],2)</f>
        <v>19:48</v>
      </c>
      <c r="J198" t="str">
        <f>IF(Acrescentar1[[#This Row],[Historico]]="COMPRA",VLOOKUP(Acrescentar1[[#This Row],[Coluna1]],$P$2:$T$400,4,0),Acrescentar1[[#This Row],[Historico]])</f>
        <v>DIA FRANQUIA LJ 9</v>
      </c>
    </row>
    <row r="199" spans="1:10" x14ac:dyDescent="0.3">
      <c r="A199">
        <v>1</v>
      </c>
      <c r="B199" s="1">
        <v>45622</v>
      </c>
      <c r="C199" s="1" t="str">
        <f>VLOOKUP(MONTH(Acrescentar1[[#This Row],[Data_Mov]]),$X$1:$Y$13,2,0)</f>
        <v>Novembro</v>
      </c>
      <c r="D199" s="31">
        <f>YEAR(Acrescentar1[[#This Row],[Data_Mov]])</f>
        <v>2024</v>
      </c>
      <c r="E199">
        <v>0</v>
      </c>
      <c r="F199" t="s">
        <v>18</v>
      </c>
      <c r="G199">
        <v>0</v>
      </c>
      <c r="H199" t="s">
        <v>13</v>
      </c>
      <c r="I199" s="9" t="str">
        <f>LEFT(RIGHT(Acrescentar1[[#This Row],[Nr_Doc]],4 ),2) &amp; ":" &amp; RIGHT(Acrescentar1[[#This Row],[Nr_Doc]],2)</f>
        <v>0:0</v>
      </c>
      <c r="J199" t="str">
        <f>IF(Acrescentar1[[#This Row],[Historico]]="COMPRA",VLOOKUP(Acrescentar1[[#This Row],[Coluna1]],$P$2:$T$400,4,0),Acrescentar1[[#This Row],[Historico]])</f>
        <v>SALDO DIA</v>
      </c>
    </row>
    <row r="200" spans="1:10" x14ac:dyDescent="0.3">
      <c r="A200">
        <v>1</v>
      </c>
      <c r="B200" s="1">
        <v>45623</v>
      </c>
      <c r="C200" s="1" t="str">
        <f>VLOOKUP(MONTH(Acrescentar1[[#This Row],[Data_Mov]]),$X$1:$Y$13,2,0)</f>
        <v>Novembro</v>
      </c>
      <c r="D200" s="31">
        <f>YEAR(Acrescentar1[[#This Row],[Data_Mov]])</f>
        <v>2024</v>
      </c>
      <c r="E200">
        <v>271356</v>
      </c>
      <c r="F200" t="s">
        <v>15</v>
      </c>
      <c r="G200">
        <v>1010</v>
      </c>
      <c r="H200" t="s">
        <v>13</v>
      </c>
      <c r="I200" s="9" t="str">
        <f>LEFT(RIGHT(Acrescentar1[[#This Row],[Nr_Doc]],4 ),2) &amp; ":" &amp; RIGHT(Acrescentar1[[#This Row],[Nr_Doc]],2)</f>
        <v>13:56</v>
      </c>
      <c r="J200" t="str">
        <f>IF(Acrescentar1[[#This Row],[Historico]]="COMPRA",VLOOKUP(Acrescentar1[[#This Row],[Coluna1]],$P$2:$T$400,4,0),Acrescentar1[[#This Row],[Historico]])</f>
        <v>FBPAY *WA TRXIDXX4594</v>
      </c>
    </row>
    <row r="201" spans="1:10" x14ac:dyDescent="0.3">
      <c r="A201">
        <v>1</v>
      </c>
      <c r="B201" s="1">
        <v>45623</v>
      </c>
      <c r="C201" s="1" t="str">
        <f>VLOOKUP(MONTH(Acrescentar1[[#This Row],[Data_Mov]]),$X$1:$Y$13,2,0)</f>
        <v>Novembro</v>
      </c>
      <c r="D201" s="31">
        <f>YEAR(Acrescentar1[[#This Row],[Data_Mov]])</f>
        <v>2024</v>
      </c>
      <c r="E201">
        <v>271604</v>
      </c>
      <c r="F201" t="s">
        <v>25</v>
      </c>
      <c r="G201">
        <v>12000</v>
      </c>
      <c r="H201" t="s">
        <v>21</v>
      </c>
      <c r="I201" s="9" t="str">
        <f>LEFT(RIGHT(Acrescentar1[[#This Row],[Nr_Doc]],4 ),2) &amp; ":" &amp; RIGHT(Acrescentar1[[#This Row],[Nr_Doc]],2)</f>
        <v>16:04</v>
      </c>
      <c r="J201" t="str">
        <f>IF(Acrescentar1[[#This Row],[Historico]]="COMPRA",VLOOKUP(Acrescentar1[[#This Row],[Coluna1]],$P$2:$T$400,4,0),Acrescentar1[[#This Row],[Historico]])</f>
        <v>CR RG POUP</v>
      </c>
    </row>
    <row r="202" spans="1:10" x14ac:dyDescent="0.3">
      <c r="A202">
        <v>1</v>
      </c>
      <c r="B202" s="1">
        <v>45623</v>
      </c>
      <c r="C202" s="1" t="str">
        <f>VLOOKUP(MONTH(Acrescentar1[[#This Row],[Data_Mov]]),$X$1:$Y$13,2,0)</f>
        <v>Novembro</v>
      </c>
      <c r="D202" s="31">
        <f>YEAR(Acrescentar1[[#This Row],[Data_Mov]])</f>
        <v>2024</v>
      </c>
      <c r="E202">
        <v>271715</v>
      </c>
      <c r="F202" t="s">
        <v>15</v>
      </c>
      <c r="G202">
        <v>10000</v>
      </c>
      <c r="H202" t="s">
        <v>13</v>
      </c>
      <c r="I202" s="9" t="str">
        <f>LEFT(RIGHT(Acrescentar1[[#This Row],[Nr_Doc]],4 ),2) &amp; ":" &amp; RIGHT(Acrescentar1[[#This Row],[Nr_Doc]],2)</f>
        <v>17:15</v>
      </c>
      <c r="J202" t="str">
        <f>IF(Acrescentar1[[#This Row],[Historico]]="COMPRA",VLOOKUP(Acrescentar1[[#This Row],[Coluna1]],$P$2:$T$400,4,0),Acrescentar1[[#This Row],[Historico]])</f>
        <v>SAO JOAO CONVENIENCIA</v>
      </c>
    </row>
    <row r="203" spans="1:10" x14ac:dyDescent="0.3">
      <c r="A203">
        <v>1</v>
      </c>
      <c r="B203" s="1">
        <v>45623</v>
      </c>
      <c r="C203" s="1" t="str">
        <f>VLOOKUP(MONTH(Acrescentar1[[#This Row],[Data_Mov]]),$X$1:$Y$13,2,0)</f>
        <v>Novembro</v>
      </c>
      <c r="D203" s="31">
        <f>YEAR(Acrescentar1[[#This Row],[Data_Mov]])</f>
        <v>2024</v>
      </c>
      <c r="E203">
        <v>0</v>
      </c>
      <c r="F203" t="s">
        <v>18</v>
      </c>
      <c r="G203">
        <v>0</v>
      </c>
      <c r="H203" t="s">
        <v>13</v>
      </c>
      <c r="I203" s="9" t="str">
        <f>LEFT(RIGHT(Acrescentar1[[#This Row],[Nr_Doc]],4 ),2) &amp; ":" &amp; RIGHT(Acrescentar1[[#This Row],[Nr_Doc]],2)</f>
        <v>0:0</v>
      </c>
      <c r="J203" t="str">
        <f>IF(Acrescentar1[[#This Row],[Historico]]="COMPRA",VLOOKUP(Acrescentar1[[#This Row],[Coluna1]],$P$2:$T$400,4,0),Acrescentar1[[#This Row],[Historico]])</f>
        <v>SALDO DIA</v>
      </c>
    </row>
    <row r="204" spans="1:10" x14ac:dyDescent="0.3">
      <c r="A204">
        <v>1</v>
      </c>
      <c r="B204" s="1">
        <v>45624</v>
      </c>
      <c r="C204" s="1" t="str">
        <f>VLOOKUP(MONTH(Acrescentar1[[#This Row],[Data_Mov]]),$X$1:$Y$13,2,0)</f>
        <v>Novembro</v>
      </c>
      <c r="D204" s="31">
        <f>YEAR(Acrescentar1[[#This Row],[Data_Mov]])</f>
        <v>2024</v>
      </c>
      <c r="E204">
        <v>373520</v>
      </c>
      <c r="F204" t="s">
        <v>31</v>
      </c>
      <c r="G204">
        <v>7217</v>
      </c>
      <c r="H204" t="s">
        <v>13</v>
      </c>
      <c r="I204" s="9" t="str">
        <f>LEFT(RIGHT(Acrescentar1[[#This Row],[Nr_Doc]],4 ),2) &amp; ":" &amp; RIGHT(Acrescentar1[[#This Row],[Nr_Doc]],2)</f>
        <v>35:20</v>
      </c>
      <c r="J204" t="str">
        <f>IF(Acrescentar1[[#This Row],[Historico]]="COMPRA",VLOOKUP(Acrescentar1[[#This Row],[Coluna1]],$P$2:$T$400,4,0),Acrescentar1[[#This Row],[Historico]])</f>
        <v>SEG RESID</v>
      </c>
    </row>
    <row r="205" spans="1:10" x14ac:dyDescent="0.3">
      <c r="A205">
        <v>1</v>
      </c>
      <c r="B205" s="1">
        <v>45624</v>
      </c>
      <c r="C205" s="1" t="str">
        <f>VLOOKUP(MONTH(Acrescentar1[[#This Row],[Data_Mov]]),$X$1:$Y$13,2,0)</f>
        <v>Novembro</v>
      </c>
      <c r="D205" s="31">
        <f>YEAR(Acrescentar1[[#This Row],[Data_Mov]])</f>
        <v>2024</v>
      </c>
      <c r="E205">
        <v>281725</v>
      </c>
      <c r="F205" t="s">
        <v>25</v>
      </c>
      <c r="G205">
        <v>8000</v>
      </c>
      <c r="H205" t="s">
        <v>21</v>
      </c>
      <c r="I205" s="9" t="str">
        <f>LEFT(RIGHT(Acrescentar1[[#This Row],[Nr_Doc]],4 ),2) &amp; ":" &amp; RIGHT(Acrescentar1[[#This Row],[Nr_Doc]],2)</f>
        <v>17:25</v>
      </c>
      <c r="J205" t="str">
        <f>IF(Acrescentar1[[#This Row],[Historico]]="COMPRA",VLOOKUP(Acrescentar1[[#This Row],[Coluna1]],$P$2:$T$400,4,0),Acrescentar1[[#This Row],[Historico]])</f>
        <v>CR RG POUP</v>
      </c>
    </row>
    <row r="206" spans="1:10" x14ac:dyDescent="0.3">
      <c r="A206">
        <v>1</v>
      </c>
      <c r="B206" s="1">
        <v>45624</v>
      </c>
      <c r="C206" s="1" t="str">
        <f>VLOOKUP(MONTH(Acrescentar1[[#This Row],[Data_Mov]]),$X$1:$Y$13,2,0)</f>
        <v>Novembro</v>
      </c>
      <c r="D206" s="31">
        <f>YEAR(Acrescentar1[[#This Row],[Data_Mov]])</f>
        <v>2024</v>
      </c>
      <c r="E206">
        <v>281833</v>
      </c>
      <c r="F206" t="s">
        <v>15</v>
      </c>
      <c r="G206">
        <v>2246</v>
      </c>
      <c r="H206" t="s">
        <v>13</v>
      </c>
      <c r="I206" s="9" t="str">
        <f>LEFT(RIGHT(Acrescentar1[[#This Row],[Nr_Doc]],4 ),2) &amp; ":" &amp; RIGHT(Acrescentar1[[#This Row],[Nr_Doc]],2)</f>
        <v>18:33</v>
      </c>
      <c r="J206" t="str">
        <f>IF(Acrescentar1[[#This Row],[Historico]]="COMPRA",VLOOKUP(Acrescentar1[[#This Row],[Coluna1]],$P$2:$T$400,4,0),Acrescentar1[[#This Row],[Historico]])</f>
        <v>DIA FRANQUIA LJ 9</v>
      </c>
    </row>
    <row r="207" spans="1:10" x14ac:dyDescent="0.3">
      <c r="A207">
        <v>1</v>
      </c>
      <c r="B207" s="1">
        <v>45624</v>
      </c>
      <c r="C207" s="1" t="str">
        <f>VLOOKUP(MONTH(Acrescentar1[[#This Row],[Data_Mov]]),$X$1:$Y$13,2,0)</f>
        <v>Novembro</v>
      </c>
      <c r="D207" s="31">
        <f>YEAR(Acrescentar1[[#This Row],[Data_Mov]])</f>
        <v>2024</v>
      </c>
      <c r="E207">
        <v>281850</v>
      </c>
      <c r="F207" t="s">
        <v>15</v>
      </c>
      <c r="G207">
        <v>2399</v>
      </c>
      <c r="H207" t="s">
        <v>13</v>
      </c>
      <c r="I207" s="9" t="str">
        <f>LEFT(RIGHT(Acrescentar1[[#This Row],[Nr_Doc]],4 ),2) &amp; ":" &amp; RIGHT(Acrescentar1[[#This Row],[Nr_Doc]],2)</f>
        <v>18:50</v>
      </c>
      <c r="J207" t="str">
        <f>IF(Acrescentar1[[#This Row],[Historico]]="COMPRA",VLOOKUP(Acrescentar1[[#This Row],[Coluna1]],$P$2:$T$400,4,0),Acrescentar1[[#This Row],[Historico]])</f>
        <v>DROGARIA ALIANCA</v>
      </c>
    </row>
    <row r="208" spans="1:10" x14ac:dyDescent="0.3">
      <c r="A208">
        <v>1</v>
      </c>
      <c r="B208" s="1">
        <v>45624</v>
      </c>
      <c r="C208" s="1" t="str">
        <f>VLOOKUP(MONTH(Acrescentar1[[#This Row],[Data_Mov]]),$X$1:$Y$13,2,0)</f>
        <v>Novembro</v>
      </c>
      <c r="D208" s="31">
        <f>YEAR(Acrescentar1[[#This Row],[Data_Mov]])</f>
        <v>2024</v>
      </c>
      <c r="E208">
        <v>0</v>
      </c>
      <c r="F208" t="s">
        <v>18</v>
      </c>
      <c r="G208">
        <v>0</v>
      </c>
      <c r="H208" t="s">
        <v>13</v>
      </c>
      <c r="I208" s="9" t="str">
        <f>LEFT(RIGHT(Acrescentar1[[#This Row],[Nr_Doc]],4 ),2) &amp; ":" &amp; RIGHT(Acrescentar1[[#This Row],[Nr_Doc]],2)</f>
        <v>0:0</v>
      </c>
      <c r="J208" t="str">
        <f>IF(Acrescentar1[[#This Row],[Historico]]="COMPRA",VLOOKUP(Acrescentar1[[#This Row],[Coluna1]],$P$2:$T$400,4,0),Acrescentar1[[#This Row],[Historico]])</f>
        <v>SALDO DIA</v>
      </c>
    </row>
    <row r="209" spans="1:10" x14ac:dyDescent="0.3">
      <c r="A209">
        <v>1</v>
      </c>
      <c r="B209" s="1">
        <v>45625</v>
      </c>
      <c r="C209" s="1" t="str">
        <f>VLOOKUP(MONTH(Acrescentar1[[#This Row],[Data_Mov]]),$X$1:$Y$13,2,0)</f>
        <v>Novembro</v>
      </c>
      <c r="D209" s="31">
        <f>YEAR(Acrescentar1[[#This Row],[Data_Mov]])</f>
        <v>2024</v>
      </c>
      <c r="E209">
        <v>901836</v>
      </c>
      <c r="F209" t="s">
        <v>30</v>
      </c>
      <c r="G209">
        <v>5584</v>
      </c>
      <c r="H209" t="s">
        <v>13</v>
      </c>
      <c r="I209" s="9" t="str">
        <f>LEFT(RIGHT(Acrescentar1[[#This Row],[Nr_Doc]],4 ),2) &amp; ":" &amp; RIGHT(Acrescentar1[[#This Row],[Nr_Doc]],2)</f>
        <v>18:36</v>
      </c>
      <c r="J209" t="str">
        <f>IF(Acrescentar1[[#This Row],[Historico]]="COMPRA",VLOOKUP(Acrescentar1[[#This Row],[Coluna1]],$P$2:$T$400,4,0),Acrescentar1[[#This Row],[Historico]])</f>
        <v>DEB IRPF</v>
      </c>
    </row>
    <row r="210" spans="1:10" x14ac:dyDescent="0.3">
      <c r="A210">
        <v>1</v>
      </c>
      <c r="B210" s="1">
        <v>45625</v>
      </c>
      <c r="C210" s="1" t="str">
        <f>VLOOKUP(MONTH(Acrescentar1[[#This Row],[Data_Mov]]),$X$1:$Y$13,2,0)</f>
        <v>Novembro</v>
      </c>
      <c r="D210" s="31">
        <f>YEAR(Acrescentar1[[#This Row],[Data_Mov]])</f>
        <v>2024</v>
      </c>
      <c r="E210">
        <v>291153</v>
      </c>
      <c r="F210" t="s">
        <v>25</v>
      </c>
      <c r="G210">
        <v>20000</v>
      </c>
      <c r="H210" t="s">
        <v>21</v>
      </c>
      <c r="I210" s="9" t="str">
        <f>LEFT(RIGHT(Acrescentar1[[#This Row],[Nr_Doc]],4 ),2) &amp; ":" &amp; RIGHT(Acrescentar1[[#This Row],[Nr_Doc]],2)</f>
        <v>11:53</v>
      </c>
      <c r="J210" t="str">
        <f>IF(Acrescentar1[[#This Row],[Historico]]="COMPRA",VLOOKUP(Acrescentar1[[#This Row],[Coluna1]],$P$2:$T$400,4,0),Acrescentar1[[#This Row],[Historico]])</f>
        <v>CR RG POUP</v>
      </c>
    </row>
    <row r="211" spans="1:10" x14ac:dyDescent="0.3">
      <c r="A211">
        <v>1</v>
      </c>
      <c r="B211" s="1">
        <v>45625</v>
      </c>
      <c r="C211" s="1" t="str">
        <f>VLOOKUP(MONTH(Acrescentar1[[#This Row],[Data_Mov]]),$X$1:$Y$13,2,0)</f>
        <v>Novembro</v>
      </c>
      <c r="D211" s="31">
        <f>YEAR(Acrescentar1[[#This Row],[Data_Mov]])</f>
        <v>2024</v>
      </c>
      <c r="E211">
        <v>291753</v>
      </c>
      <c r="F211" t="s">
        <v>15</v>
      </c>
      <c r="G211">
        <v>10000</v>
      </c>
      <c r="H211" t="s">
        <v>13</v>
      </c>
      <c r="I211" s="9" t="str">
        <f>LEFT(RIGHT(Acrescentar1[[#This Row],[Nr_Doc]],4 ),2) &amp; ":" &amp; RIGHT(Acrescentar1[[#This Row],[Nr_Doc]],2)</f>
        <v>17:53</v>
      </c>
      <c r="J211" t="str">
        <f>IF(Acrescentar1[[#This Row],[Historico]]="COMPRA",VLOOKUP(Acrescentar1[[#This Row],[Coluna1]],$P$2:$T$400,4,0),Acrescentar1[[#This Row],[Historico]])</f>
        <v>PParada</v>
      </c>
    </row>
    <row r="212" spans="1:10" x14ac:dyDescent="0.3">
      <c r="A212">
        <v>1</v>
      </c>
      <c r="B212" s="1">
        <v>45625</v>
      </c>
      <c r="C212" s="1" t="str">
        <f>VLOOKUP(MONTH(Acrescentar1[[#This Row],[Data_Mov]]),$X$1:$Y$13,2,0)</f>
        <v>Novembro</v>
      </c>
      <c r="D212" s="31">
        <f>YEAR(Acrescentar1[[#This Row],[Data_Mov]])</f>
        <v>2024</v>
      </c>
      <c r="E212">
        <v>0</v>
      </c>
      <c r="F212" t="s">
        <v>122</v>
      </c>
      <c r="G212">
        <v>104697</v>
      </c>
      <c r="H212" t="s">
        <v>21</v>
      </c>
      <c r="I212" s="9" t="str">
        <f>LEFT(RIGHT(Acrescentar1[[#This Row],[Nr_Doc]],4 ),2) &amp; ":" &amp; RIGHT(Acrescentar1[[#This Row],[Nr_Doc]],2)</f>
        <v>0:0</v>
      </c>
      <c r="J212" t="str">
        <f>IF(Acrescentar1[[#This Row],[Historico]]="COMPRA",VLOOKUP(Acrescentar1[[#This Row],[Coluna1]],$P$2:$T$400,4,0),Acrescentar1[[#This Row],[Historico]])</f>
        <v>CR CONSIG</v>
      </c>
    </row>
    <row r="213" spans="1:10" x14ac:dyDescent="0.3">
      <c r="A213">
        <v>1</v>
      </c>
      <c r="B213" s="1">
        <v>45625</v>
      </c>
      <c r="C213" s="1" t="str">
        <f>VLOOKUP(MONTH(Acrescentar1[[#This Row],[Data_Mov]]),$X$1:$Y$13,2,0)</f>
        <v>Novembro</v>
      </c>
      <c r="D213" s="31">
        <f>YEAR(Acrescentar1[[#This Row],[Data_Mov]])</f>
        <v>2024</v>
      </c>
      <c r="E213">
        <v>0</v>
      </c>
      <c r="F213" t="s">
        <v>122</v>
      </c>
      <c r="G213">
        <v>82515</v>
      </c>
      <c r="H213" t="s">
        <v>21</v>
      </c>
      <c r="I213" s="9" t="str">
        <f>LEFT(RIGHT(Acrescentar1[[#This Row],[Nr_Doc]],4 ),2) &amp; ":" &amp; RIGHT(Acrescentar1[[#This Row],[Nr_Doc]],2)</f>
        <v>0:0</v>
      </c>
      <c r="J213" t="str">
        <f>IF(Acrescentar1[[#This Row],[Historico]]="COMPRA",VLOOKUP(Acrescentar1[[#This Row],[Coluna1]],$P$2:$T$400,4,0),Acrescentar1[[#This Row],[Historico]])</f>
        <v>CR CONSIG</v>
      </c>
    </row>
    <row r="214" spans="1:10" x14ac:dyDescent="0.3">
      <c r="A214">
        <v>1</v>
      </c>
      <c r="B214" s="1">
        <v>45625</v>
      </c>
      <c r="C214" s="1" t="str">
        <f>VLOOKUP(MONTH(Acrescentar1[[#This Row],[Data_Mov]]),$X$1:$Y$13,2,0)</f>
        <v>Novembro</v>
      </c>
      <c r="D214" s="31">
        <f>YEAR(Acrescentar1[[#This Row],[Data_Mov]])</f>
        <v>2024</v>
      </c>
      <c r="E214">
        <v>292052</v>
      </c>
      <c r="F214" t="s">
        <v>15</v>
      </c>
      <c r="G214">
        <v>290</v>
      </c>
      <c r="H214" t="s">
        <v>13</v>
      </c>
      <c r="I214" s="9" t="str">
        <f>LEFT(RIGHT(Acrescentar1[[#This Row],[Nr_Doc]],4 ),2) &amp; ":" &amp; RIGHT(Acrescentar1[[#This Row],[Nr_Doc]],2)</f>
        <v>20:52</v>
      </c>
      <c r="J214" t="str">
        <f>IF(Acrescentar1[[#This Row],[Historico]]="COMPRA",VLOOKUP(Acrescentar1[[#This Row],[Coluna1]],$P$2:$T$400,4,0),Acrescentar1[[#This Row],[Historico]])</f>
        <v>AUTOPISTA FERNAO</v>
      </c>
    </row>
    <row r="215" spans="1:10" x14ac:dyDescent="0.3">
      <c r="A215">
        <v>1</v>
      </c>
      <c r="B215" s="1">
        <v>45625</v>
      </c>
      <c r="C215" s="1" t="str">
        <f>VLOOKUP(MONTH(Acrescentar1[[#This Row],[Data_Mov]]),$X$1:$Y$13,2,0)</f>
        <v>Novembro</v>
      </c>
      <c r="D215" s="31">
        <f>YEAR(Acrescentar1[[#This Row],[Data_Mov]])</f>
        <v>2024</v>
      </c>
      <c r="E215">
        <v>0</v>
      </c>
      <c r="F215" t="s">
        <v>18</v>
      </c>
      <c r="G215">
        <v>0</v>
      </c>
      <c r="H215" t="s">
        <v>21</v>
      </c>
      <c r="I215" s="9" t="str">
        <f>LEFT(RIGHT(Acrescentar1[[#This Row],[Nr_Doc]],4 ),2) &amp; ":" &amp; RIGHT(Acrescentar1[[#This Row],[Nr_Doc]],2)</f>
        <v>0:0</v>
      </c>
      <c r="J215" t="str">
        <f>IF(Acrescentar1[[#This Row],[Historico]]="COMPRA",VLOOKUP(Acrescentar1[[#This Row],[Coluna1]],$P$2:$T$400,4,0),Acrescentar1[[#This Row],[Historico]])</f>
        <v>SALDO DIA</v>
      </c>
    </row>
    <row r="216" spans="1:10" x14ac:dyDescent="0.3">
      <c r="A216">
        <v>1</v>
      </c>
      <c r="B216" s="1">
        <v>45628</v>
      </c>
      <c r="C216" s="1" t="str">
        <f>VLOOKUP(MONTH(Acrescentar1[[#This Row],[Data_Mov]]),$X$1:$Y$13,2,0)</f>
        <v>Dezembro</v>
      </c>
      <c r="D216" s="31">
        <f>YEAR(Acrescentar1[[#This Row],[Data_Mov]])</f>
        <v>2024</v>
      </c>
      <c r="E216">
        <v>301403</v>
      </c>
      <c r="F216" t="s">
        <v>12</v>
      </c>
      <c r="G216">
        <v>90000</v>
      </c>
      <c r="H216" t="s">
        <v>13</v>
      </c>
      <c r="I216" s="9" t="str">
        <f>LEFT(RIGHT(Acrescentar1[[#This Row],[Nr_Doc]],4 ),2) &amp; ":" &amp; RIGHT(Acrescentar1[[#This Row],[Nr_Doc]],2)</f>
        <v>14:03</v>
      </c>
      <c r="J216" t="str">
        <f>IF(Acrescentar1[[#This Row],[Historico]]="COMPRA",VLOOKUP(Acrescentar1[[#This Row],[Coluna1]],$P$2:$T$400,4,0),Acrescentar1[[#This Row],[Historico]])</f>
        <v>DB AP POUP</v>
      </c>
    </row>
    <row r="217" spans="1:10" x14ac:dyDescent="0.3">
      <c r="A217">
        <v>1</v>
      </c>
      <c r="B217" s="1">
        <v>45628</v>
      </c>
      <c r="C217" s="1" t="str">
        <f>VLOOKUP(MONTH(Acrescentar1[[#This Row],[Data_Mov]]),$X$1:$Y$13,2,0)</f>
        <v>Dezembro</v>
      </c>
      <c r="D217" s="31">
        <f>YEAR(Acrescentar1[[#This Row],[Data_Mov]])</f>
        <v>2024</v>
      </c>
      <c r="E217">
        <v>301619</v>
      </c>
      <c r="F217" t="s">
        <v>14</v>
      </c>
      <c r="G217">
        <v>3000</v>
      </c>
      <c r="H217" t="s">
        <v>13</v>
      </c>
      <c r="I217" s="9" t="str">
        <f>LEFT(RIGHT(Acrescentar1[[#This Row],[Nr_Doc]],4 ),2) &amp; ":" &amp; RIGHT(Acrescentar1[[#This Row],[Nr_Doc]],2)</f>
        <v>16:19</v>
      </c>
      <c r="J217" t="str">
        <f>IF(Acrescentar1[[#This Row],[Historico]]="COMPRA",VLOOKUP(Acrescentar1[[#This Row],[Coluna1]],$P$2:$T$400,4,0),Acrescentar1[[#This Row],[Historico]])</f>
        <v>DEB WHATS</v>
      </c>
    </row>
    <row r="218" spans="1:10" x14ac:dyDescent="0.3">
      <c r="A218">
        <v>1</v>
      </c>
      <c r="B218" s="1">
        <v>45628</v>
      </c>
      <c r="C218" s="1" t="str">
        <f>VLOOKUP(MONTH(Acrescentar1[[#This Row],[Data_Mov]]),$X$1:$Y$13,2,0)</f>
        <v>Dezembro</v>
      </c>
      <c r="D218" s="31">
        <f>YEAR(Acrescentar1[[#This Row],[Data_Mov]])</f>
        <v>2024</v>
      </c>
      <c r="E218">
        <v>301832</v>
      </c>
      <c r="F218" t="s">
        <v>169</v>
      </c>
      <c r="G218">
        <v>500</v>
      </c>
      <c r="H218" t="s">
        <v>13</v>
      </c>
      <c r="I218" s="9" t="str">
        <f>LEFT(RIGHT(Acrescentar1[[#This Row],[Nr_Doc]],4 ),2) &amp; ":" &amp; RIGHT(Acrescentar1[[#This Row],[Nr_Doc]],2)</f>
        <v>18:32</v>
      </c>
      <c r="J218" t="str">
        <f>IF(Acrescentar1[[#This Row],[Historico]]="COMPRA",VLOOKUP(Acrescentar1[[#This Row],[Coluna1]],$P$2:$T$400,4,0),Acrescentar1[[#This Row],[Historico]])</f>
        <v>APP</v>
      </c>
    </row>
    <row r="219" spans="1:10" x14ac:dyDescent="0.3">
      <c r="A219">
        <v>1</v>
      </c>
      <c r="B219" s="1">
        <v>45628</v>
      </c>
      <c r="C219" s="1" t="str">
        <f>VLOOKUP(MONTH(Acrescentar1[[#This Row],[Data_Mov]]),$X$1:$Y$13,2,0)</f>
        <v>Dezembro</v>
      </c>
      <c r="D219" s="31">
        <f>YEAR(Acrescentar1[[#This Row],[Data_Mov]])</f>
        <v>2024</v>
      </c>
      <c r="E219">
        <v>11754</v>
      </c>
      <c r="F219" t="s">
        <v>15</v>
      </c>
      <c r="G219">
        <v>10000</v>
      </c>
      <c r="H219" t="s">
        <v>13</v>
      </c>
      <c r="I219" s="9" t="str">
        <f>LEFT(RIGHT(Acrescentar1[[#This Row],[Nr_Doc]],4 ),2) &amp; ":" &amp; RIGHT(Acrescentar1[[#This Row],[Nr_Doc]],2)</f>
        <v>17:54</v>
      </c>
      <c r="J219" t="str">
        <f>IF(Acrescentar1[[#This Row],[Historico]]="COMPRA",VLOOKUP(Acrescentar1[[#This Row],[Coluna1]],$P$2:$T$400,4,0),Acrescentar1[[#This Row],[Historico]])</f>
        <v>AutoPostoVitrine</v>
      </c>
    </row>
    <row r="220" spans="1:10" x14ac:dyDescent="0.3">
      <c r="A220">
        <v>1</v>
      </c>
      <c r="B220" s="1">
        <v>45628</v>
      </c>
      <c r="C220" s="1" t="str">
        <f>VLOOKUP(MONTH(Acrescentar1[[#This Row],[Data_Mov]]),$X$1:$Y$13,2,0)</f>
        <v>Dezembro</v>
      </c>
      <c r="D220" s="31">
        <f>YEAR(Acrescentar1[[#This Row],[Data_Mov]])</f>
        <v>2024</v>
      </c>
      <c r="E220">
        <v>11838</v>
      </c>
      <c r="F220" t="s">
        <v>15</v>
      </c>
      <c r="G220">
        <v>290</v>
      </c>
      <c r="H220" t="s">
        <v>13</v>
      </c>
      <c r="I220" s="9" t="str">
        <f>LEFT(RIGHT(Acrescentar1[[#This Row],[Nr_Doc]],4 ),2) &amp; ":" &amp; RIGHT(Acrescentar1[[#This Row],[Nr_Doc]],2)</f>
        <v>18:38</v>
      </c>
      <c r="J220" t="str">
        <f>IF(Acrescentar1[[#This Row],[Historico]]="COMPRA",VLOOKUP(Acrescentar1[[#This Row],[Coluna1]],$P$2:$T$400,4,0),Acrescentar1[[#This Row],[Historico]])</f>
        <v>AUTOPISTA FERNAO</v>
      </c>
    </row>
    <row r="221" spans="1:10" x14ac:dyDescent="0.3">
      <c r="A221">
        <v>1</v>
      </c>
      <c r="B221" s="1">
        <v>45628</v>
      </c>
      <c r="C221" s="1" t="str">
        <f>VLOOKUP(MONTH(Acrescentar1[[#This Row],[Data_Mov]]),$X$1:$Y$13,2,0)</f>
        <v>Dezembro</v>
      </c>
      <c r="D221" s="31">
        <f>YEAR(Acrescentar1[[#This Row],[Data_Mov]])</f>
        <v>2024</v>
      </c>
      <c r="E221">
        <v>11859</v>
      </c>
      <c r="F221" t="s">
        <v>15</v>
      </c>
      <c r="G221">
        <v>1010</v>
      </c>
      <c r="H221" t="s">
        <v>13</v>
      </c>
      <c r="I221" s="9" t="str">
        <f>LEFT(RIGHT(Acrescentar1[[#This Row],[Nr_Doc]],4 ),2) &amp; ":" &amp; RIGHT(Acrescentar1[[#This Row],[Nr_Doc]],2)</f>
        <v>18:59</v>
      </c>
      <c r="J221" t="str">
        <f>IF(Acrescentar1[[#This Row],[Historico]]="COMPRA",VLOOKUP(Acrescentar1[[#This Row],[Coluna1]],$P$2:$T$400,4,0),Acrescentar1[[#This Row],[Historico]])</f>
        <v>CRB FPAY</v>
      </c>
    </row>
    <row r="222" spans="1:10" x14ac:dyDescent="0.3">
      <c r="A222">
        <v>1</v>
      </c>
      <c r="B222" s="1">
        <v>45628</v>
      </c>
      <c r="C222" s="1" t="str">
        <f>VLOOKUP(MONTH(Acrescentar1[[#This Row],[Data_Mov]]),$X$1:$Y$13,2,0)</f>
        <v>Dezembro</v>
      </c>
      <c r="D222" s="31">
        <f>YEAR(Acrescentar1[[#This Row],[Data_Mov]])</f>
        <v>2024</v>
      </c>
      <c r="E222">
        <v>11937</v>
      </c>
      <c r="F222" t="s">
        <v>15</v>
      </c>
      <c r="G222">
        <v>4916</v>
      </c>
      <c r="H222" t="s">
        <v>13</v>
      </c>
      <c r="I222" s="9" t="str">
        <f>LEFT(RIGHT(Acrescentar1[[#This Row],[Nr_Doc]],4 ),2) &amp; ":" &amp; RIGHT(Acrescentar1[[#This Row],[Nr_Doc]],2)</f>
        <v>19:37</v>
      </c>
      <c r="J222" t="str">
        <f>IF(Acrescentar1[[#This Row],[Historico]]="COMPRA",VLOOKUP(Acrescentar1[[#This Row],[Coluna1]],$P$2:$T$400,4,0),Acrescentar1[[#This Row],[Historico]])</f>
        <v>SUPERMERCADO CATR</v>
      </c>
    </row>
    <row r="223" spans="1:10" x14ac:dyDescent="0.3">
      <c r="A223">
        <v>1</v>
      </c>
      <c r="B223" s="1">
        <v>45628</v>
      </c>
      <c r="C223" s="1" t="str">
        <f>VLOOKUP(MONTH(Acrescentar1[[#This Row],[Data_Mov]]),$X$1:$Y$13,2,0)</f>
        <v>Dezembro</v>
      </c>
      <c r="D223" s="31">
        <f>YEAR(Acrescentar1[[#This Row],[Data_Mov]])</f>
        <v>2024</v>
      </c>
      <c r="E223">
        <v>0</v>
      </c>
      <c r="F223" t="s">
        <v>16</v>
      </c>
      <c r="G223">
        <v>623</v>
      </c>
      <c r="H223" t="s">
        <v>13</v>
      </c>
      <c r="I223" s="9" t="str">
        <f>LEFT(RIGHT(Acrescentar1[[#This Row],[Nr_Doc]],4 ),2) &amp; ":" &amp; RIGHT(Acrescentar1[[#This Row],[Nr_Doc]],2)</f>
        <v>0:0</v>
      </c>
      <c r="J223" t="str">
        <f>IF(Acrescentar1[[#This Row],[Historico]]="COMPRA",VLOOKUP(Acrescentar1[[#This Row],[Coluna1]],$P$2:$T$400,4,0),Acrescentar1[[#This Row],[Historico]])</f>
        <v>DEB IOF</v>
      </c>
    </row>
    <row r="224" spans="1:10" x14ac:dyDescent="0.3">
      <c r="A224">
        <v>1</v>
      </c>
      <c r="B224" s="1">
        <v>45628</v>
      </c>
      <c r="C224" s="1" t="str">
        <f>VLOOKUP(MONTH(Acrescentar1[[#This Row],[Data_Mov]]),$X$1:$Y$13,2,0)</f>
        <v>Dezembro</v>
      </c>
      <c r="D224" s="31">
        <f>YEAR(Acrescentar1[[#This Row],[Data_Mov]])</f>
        <v>2024</v>
      </c>
      <c r="E224">
        <v>0</v>
      </c>
      <c r="F224" t="s">
        <v>17</v>
      </c>
      <c r="G224">
        <v>5710</v>
      </c>
      <c r="H224" t="s">
        <v>13</v>
      </c>
      <c r="I224" s="9" t="str">
        <f>LEFT(RIGHT(Acrescentar1[[#This Row],[Nr_Doc]],4 ),2) &amp; ":" &amp; RIGHT(Acrescentar1[[#This Row],[Nr_Doc]],2)</f>
        <v>0:0</v>
      </c>
      <c r="J224" t="str">
        <f>IF(Acrescentar1[[#This Row],[Historico]]="COMPRA",VLOOKUP(Acrescentar1[[#This Row],[Coluna1]],$P$2:$T$400,4,0),Acrescentar1[[#This Row],[Historico]])</f>
        <v>DEB JUROS</v>
      </c>
    </row>
    <row r="225" spans="1:10" x14ac:dyDescent="0.3">
      <c r="A225">
        <v>1</v>
      </c>
      <c r="B225" s="1">
        <v>45628</v>
      </c>
      <c r="C225" s="1" t="str">
        <f>VLOOKUP(MONTH(Acrescentar1[[#This Row],[Data_Mov]]),$X$1:$Y$13,2,0)</f>
        <v>Dezembro</v>
      </c>
      <c r="D225" s="31">
        <f>YEAR(Acrescentar1[[#This Row],[Data_Mov]])</f>
        <v>2024</v>
      </c>
      <c r="E225">
        <v>0</v>
      </c>
      <c r="F225" t="s">
        <v>18</v>
      </c>
      <c r="G225">
        <v>0</v>
      </c>
      <c r="H225" t="s">
        <v>13</v>
      </c>
      <c r="I225" s="9" t="str">
        <f>LEFT(RIGHT(Acrescentar1[[#This Row],[Nr_Doc]],4 ),2) &amp; ":" &amp; RIGHT(Acrescentar1[[#This Row],[Nr_Doc]],2)</f>
        <v>0:0</v>
      </c>
      <c r="J225" t="str">
        <f>IF(Acrescentar1[[#This Row],[Historico]]="COMPRA",VLOOKUP(Acrescentar1[[#This Row],[Coluna1]],$P$2:$T$400,4,0),Acrescentar1[[#This Row],[Historico]])</f>
        <v>SALDO DIA</v>
      </c>
    </row>
    <row r="226" spans="1:10" x14ac:dyDescent="0.3">
      <c r="A226">
        <v>1</v>
      </c>
      <c r="B226" s="1">
        <v>45616</v>
      </c>
      <c r="C226" s="1" t="str">
        <f>VLOOKUP(MONTH(Acrescentar1[[#This Row],[Data_Mov]]),$X$1:$Y$13,2,0)</f>
        <v>Novembro</v>
      </c>
      <c r="D226" s="31">
        <f>YEAR(Acrescentar1[[#This Row],[Data_Mov]])</f>
        <v>2024</v>
      </c>
      <c r="E226" t="s">
        <v>186</v>
      </c>
      <c r="F226" t="s">
        <v>188</v>
      </c>
      <c r="G226">
        <v>56560</v>
      </c>
      <c r="H226" t="s">
        <v>189</v>
      </c>
      <c r="I226" s="9" t="str">
        <f>LEFT(RIGHT(Acrescentar1[[#This Row],[Nr_Doc]],4 ),2) &amp; ":" &amp; RIGHT(Acrescentar1[[#This Row],[Nr_Doc]],2)</f>
        <v>NP:NP</v>
      </c>
      <c r="J226" t="str">
        <f>IF(Acrescentar1[[#This Row],[Historico]]="COMPRA",VLOOKUP(Acrescentar1[[#This Row],[Coluna1]],$P$2:$T$400,4,0),Acrescentar1[[#This Row],[Historico]])</f>
        <v>FUNCEF PREV</v>
      </c>
    </row>
    <row r="227" spans="1:10" x14ac:dyDescent="0.3">
      <c r="A227">
        <v>1</v>
      </c>
      <c r="B227" s="1">
        <v>45616</v>
      </c>
      <c r="C227" s="1" t="str">
        <f>VLOOKUP(MONTH(Acrescentar1[[#This Row],[Data_Mov]]),$X$1:$Y$13,2,0)</f>
        <v>Novembro</v>
      </c>
      <c r="D227" s="31">
        <f>YEAR(Acrescentar1[[#This Row],[Data_Mov]])</f>
        <v>2024</v>
      </c>
      <c r="E227" t="s">
        <v>187</v>
      </c>
      <c r="F227" t="s">
        <v>188</v>
      </c>
      <c r="G227">
        <v>29845</v>
      </c>
      <c r="H227" t="s">
        <v>189</v>
      </c>
      <c r="I227" s="9" t="str">
        <f>LEFT(RIGHT(Acrescentar1[[#This Row],[Nr_Doc]],4 ),2) &amp; ":" &amp; RIGHT(Acrescentar1[[#This Row],[Nr_Doc]],2)</f>
        <v xml:space="preserve"> N:AT</v>
      </c>
      <c r="J227" t="str">
        <f>IF(Acrescentar1[[#This Row],[Historico]]="COMPRA",VLOOKUP(Acrescentar1[[#This Row],[Coluna1]],$P$2:$T$400,4,0),Acrescentar1[[#This Row],[Historico]])</f>
        <v>FUNCEF PREV</v>
      </c>
    </row>
    <row r="228" spans="1:10" x14ac:dyDescent="0.3">
      <c r="A228">
        <v>1</v>
      </c>
      <c r="B228" s="1">
        <v>45646</v>
      </c>
      <c r="C228" s="1" t="str">
        <f>VLOOKUP(MONTH(Acrescentar1[[#This Row],[Data_Mov]]),$X$1:$Y$13,2,0)</f>
        <v>Dezembro</v>
      </c>
      <c r="D228" s="31">
        <f>YEAR(Acrescentar1[[#This Row],[Data_Mov]])</f>
        <v>2024</v>
      </c>
      <c r="E228" t="s">
        <v>186</v>
      </c>
      <c r="F228" t="s">
        <v>188</v>
      </c>
      <c r="G228">
        <v>56560</v>
      </c>
      <c r="H228" t="s">
        <v>189</v>
      </c>
      <c r="I228" s="9" t="str">
        <f>LEFT(RIGHT(Acrescentar1[[#This Row],[Nr_Doc]],4 ),2) &amp; ":" &amp; RIGHT(Acrescentar1[[#This Row],[Nr_Doc]],2)</f>
        <v>NP:NP</v>
      </c>
      <c r="J228" t="str">
        <f>IF(Acrescentar1[[#This Row],[Historico]]="COMPRA",VLOOKUP(Acrescentar1[[#This Row],[Coluna1]],$P$2:$T$400,4,0),Acrescentar1[[#This Row],[Historico]])</f>
        <v>FUNCEF PREV</v>
      </c>
    </row>
    <row r="229" spans="1:10" x14ac:dyDescent="0.3">
      <c r="B229" s="1">
        <v>45677</v>
      </c>
      <c r="C229" s="1" t="str">
        <f>VLOOKUP(MONTH(Acrescentar1[[#This Row],[Data_Mov]]),$X$1:$Y$13,2,0)</f>
        <v>Janeiro</v>
      </c>
      <c r="D229" s="31">
        <f>YEAR(Acrescentar1[[#This Row],[Data_Mov]])</f>
        <v>2025</v>
      </c>
      <c r="E229" t="s">
        <v>186</v>
      </c>
      <c r="F229" t="s">
        <v>188</v>
      </c>
      <c r="G229">
        <v>56560</v>
      </c>
      <c r="H229" t="s">
        <v>189</v>
      </c>
      <c r="I229" s="9" t="str">
        <f>LEFT(RIGHT(Acrescentar1[[#This Row],[Nr_Doc]],4 ),2) &amp; ":" &amp; RIGHT(Acrescentar1[[#This Row],[Nr_Doc]],2)</f>
        <v>NP:NP</v>
      </c>
      <c r="J229" t="str">
        <f>IF(Acrescentar1[[#This Row],[Historico]]="COMPRA",VLOOKUP(Acrescentar1[[#This Row],[Coluna1]],$P$2:$T$400,4,0),Acrescentar1[[#This Row],[Historico]])</f>
        <v>FUNCEF PREV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9" tint="-0.499984740745262"/>
  </sheetPr>
  <dimension ref="A1:P261"/>
  <sheetViews>
    <sheetView showGridLines="0" showRowColHeaders="0" workbookViewId="0"/>
  </sheetViews>
  <sheetFormatPr defaultColWidth="13.44140625" defaultRowHeight="14.4" x14ac:dyDescent="0.3"/>
  <cols>
    <col min="4" max="4" width="22.5546875" bestFit="1" customWidth="1"/>
    <col min="5" max="5" width="20.88671875" bestFit="1" customWidth="1"/>
    <col min="7" max="7" width="13.44140625" style="6"/>
    <col min="8" max="8" width="19.5546875" customWidth="1"/>
    <col min="9" max="9" width="8.21875" bestFit="1" customWidth="1"/>
    <col min="14" max="14" width="24.33203125" bestFit="1" customWidth="1"/>
    <col min="15" max="15" width="22.5546875" bestFit="1" customWidth="1"/>
  </cols>
  <sheetData>
    <row r="1" spans="1:16" x14ac:dyDescent="0.3">
      <c r="A1" t="s">
        <v>0</v>
      </c>
      <c r="B1" t="s">
        <v>170</v>
      </c>
      <c r="C1" t="s">
        <v>171</v>
      </c>
      <c r="D1" t="s">
        <v>1</v>
      </c>
      <c r="E1" t="s">
        <v>6</v>
      </c>
      <c r="F1" t="s">
        <v>2</v>
      </c>
      <c r="G1" s="6" t="s">
        <v>3</v>
      </c>
      <c r="H1" t="s">
        <v>4</v>
      </c>
      <c r="I1" t="s">
        <v>194</v>
      </c>
      <c r="J1" t="s">
        <v>5</v>
      </c>
    </row>
    <row r="2" spans="1:16" x14ac:dyDescent="0.3">
      <c r="A2" s="1">
        <f>Acrescentar1[[#This Row],[Data_Mov]]</f>
        <v>45628</v>
      </c>
      <c r="B2" s="1" t="str">
        <f>Acrescentar1[[#This Row],[Mês]]</f>
        <v>Dezembro</v>
      </c>
      <c r="C2" s="33">
        <f>Acrescentar1[[#This Row],[Ano]]</f>
        <v>2024</v>
      </c>
      <c r="D2" t="str">
        <f>VLOOKUP(Tbl_operations[[#This Row],[Categoria]],$N$3:$O$111,2,0)</f>
        <v>DEBITO</v>
      </c>
      <c r="E2" t="str">
        <f>Acrescentar1[[#This Row],[Coluna2]]</f>
        <v>DB AP POUP</v>
      </c>
      <c r="F2" t="str">
        <f>Acrescentar1[[#This Row],[Historico]]</f>
        <v>DB AP POUP</v>
      </c>
      <c r="G2" s="6">
        <f>IF(Tbl_operations[[#This Row],[Operação Bancária]]="D",Acrescentar1[[#This Row],[Valor]]/100,Acrescentar1[[#This Row],[Valor]]/100)</f>
        <v>900</v>
      </c>
      <c r="H2" t="str">
        <f>Acrescentar1[[#This Row],[Deb_Cred]]</f>
        <v>D</v>
      </c>
      <c r="I2">
        <f>IF(Tbl_operations[[#This Row],[Status]]="POUPANÇA",Controller!$H$17,0)</f>
        <v>0</v>
      </c>
      <c r="J2" t="str">
        <f>IF(Tbl_operations[[#This Row],[Operação Bancária]]="C", "ENTRADA",IF(Tbl_operations[[#This Row],[Operação Bancária]]="P","POUPANÇA","SAIDA"))</f>
        <v>SAIDA</v>
      </c>
      <c r="N2" s="7" t="s">
        <v>90</v>
      </c>
    </row>
    <row r="3" spans="1:16" x14ac:dyDescent="0.3">
      <c r="A3" s="1">
        <f>Acrescentar1[[#This Row],[Data_Mov]]</f>
        <v>45628</v>
      </c>
      <c r="B3" s="1" t="str">
        <f>Acrescentar1[[#This Row],[Mês]]</f>
        <v>Dezembro</v>
      </c>
      <c r="C3" s="33">
        <f>Acrescentar1[[#This Row],[Ano]]</f>
        <v>2024</v>
      </c>
      <c r="D3" t="str">
        <f>VLOOKUP(Tbl_operations[[#This Row],[Categoria]],$N$3:$O$111,2,0)</f>
        <v>PAI-DIRCE</v>
      </c>
      <c r="E3" t="str">
        <f>Acrescentar1[[#This Row],[Coluna2]]</f>
        <v>DEB WHATS</v>
      </c>
      <c r="F3" t="str">
        <f>Acrescentar1[[#This Row],[Historico]]</f>
        <v>DEB WHATS</v>
      </c>
      <c r="G3" s="6">
        <f>IF(Tbl_operations[[#This Row],[Operação Bancária]]="D",Acrescentar1[[#This Row],[Valor]]/100,Acrescentar1[[#This Row],[Valor]]/100)</f>
        <v>30</v>
      </c>
      <c r="H3" t="str">
        <f>Acrescentar1[[#This Row],[Deb_Cred]]</f>
        <v>D</v>
      </c>
      <c r="I3">
        <f>IF(Tbl_operations[[#This Row],[Status]]="POUPANÇA",Controller!$H$17,0)</f>
        <v>0</v>
      </c>
      <c r="J3" t="str">
        <f>IF(Tbl_operations[[#This Row],[Operação Bancária]]="C", "ENTRADA",IF(Tbl_operations[[#This Row],[Operação Bancária]]="P","POUPANÇA","SAIDA"))</f>
        <v>SAIDA</v>
      </c>
      <c r="N3" s="8" t="s">
        <v>168</v>
      </c>
      <c r="O3" t="s">
        <v>95</v>
      </c>
    </row>
    <row r="4" spans="1:16" x14ac:dyDescent="0.3">
      <c r="A4" s="1">
        <f>Acrescentar1[[#This Row],[Data_Mov]]</f>
        <v>45628</v>
      </c>
      <c r="B4" s="1" t="str">
        <f>Acrescentar1[[#This Row],[Mês]]</f>
        <v>Dezembro</v>
      </c>
      <c r="C4" s="33">
        <f>Acrescentar1[[#This Row],[Ano]]</f>
        <v>2024</v>
      </c>
      <c r="D4" t="str">
        <f>VLOOKUP(Tbl_operations[[#This Row],[Categoria]],$N$3:$O$111,2,0)</f>
        <v>INVESTIMENTO</v>
      </c>
      <c r="E4" t="str">
        <f>Acrescentar1[[#This Row],[Coluna2]]</f>
        <v>app</v>
      </c>
      <c r="F4" t="str">
        <f>Acrescentar1[[#This Row],[Historico]]</f>
        <v>app</v>
      </c>
      <c r="G4" s="6">
        <f>IF(Tbl_operations[[#This Row],[Operação Bancária]]="D",Acrescentar1[[#This Row],[Valor]]/100,Acrescentar1[[#This Row],[Valor]]/100)</f>
        <v>5</v>
      </c>
      <c r="H4" t="str">
        <f>Acrescentar1[[#This Row],[Deb_Cred]]</f>
        <v>D</v>
      </c>
      <c r="I4">
        <f>IF(Tbl_operations[[#This Row],[Status]]="POUPANÇA",Controller!$H$17,0)</f>
        <v>0</v>
      </c>
      <c r="J4" t="str">
        <f>IF(Tbl_operations[[#This Row],[Operação Bancária]]="C", "ENTRADA",IF(Tbl_operations[[#This Row],[Operação Bancária]]="P","POUPANÇA","SAIDA"))</f>
        <v>SAIDA</v>
      </c>
      <c r="N4" s="8" t="s">
        <v>39</v>
      </c>
      <c r="O4" t="s">
        <v>118</v>
      </c>
    </row>
    <row r="5" spans="1:16" x14ac:dyDescent="0.3">
      <c r="A5" s="1">
        <f>Acrescentar1[[#This Row],[Data_Mov]]</f>
        <v>45628</v>
      </c>
      <c r="B5" s="1" t="str">
        <f>Acrescentar1[[#This Row],[Mês]]</f>
        <v>Dezembro</v>
      </c>
      <c r="C5" s="33">
        <f>Acrescentar1[[#This Row],[Ano]]</f>
        <v>2024</v>
      </c>
      <c r="D5" t="str">
        <f>VLOOKUP(Tbl_operations[[#This Row],[Categoria]],$N$3:$O$111,2,0)</f>
        <v>COMBUSTIVEL</v>
      </c>
      <c r="E5" t="str">
        <f>Acrescentar1[[#This Row],[Coluna2]]</f>
        <v>AutoPostoVitrine</v>
      </c>
      <c r="F5" t="str">
        <f>Acrescentar1[[#This Row],[Historico]]</f>
        <v>COMPRA</v>
      </c>
      <c r="G5" s="6">
        <f>IF(Tbl_operations[[#This Row],[Operação Bancária]]="D",Acrescentar1[[#This Row],[Valor]]/100,Acrescentar1[[#This Row],[Valor]]/100)</f>
        <v>100</v>
      </c>
      <c r="H5" t="str">
        <f>Acrescentar1[[#This Row],[Deb_Cred]]</f>
        <v>D</v>
      </c>
      <c r="I5">
        <f>IF(Tbl_operations[[#This Row],[Status]]="POUPANÇA",Controller!$H$17,0)</f>
        <v>0</v>
      </c>
      <c r="J5" t="str">
        <f>IF(Tbl_operations[[#This Row],[Operação Bancária]]="C", "ENTRADA",IF(Tbl_operations[[#This Row],[Operação Bancária]]="P","POUPANÇA","SAIDA"))</f>
        <v>SAIDA</v>
      </c>
      <c r="N5" s="8" t="s">
        <v>87</v>
      </c>
      <c r="O5" t="s">
        <v>98</v>
      </c>
    </row>
    <row r="6" spans="1:16" x14ac:dyDescent="0.3">
      <c r="A6" s="1">
        <f>Acrescentar1[[#This Row],[Data_Mov]]</f>
        <v>45628</v>
      </c>
      <c r="B6" s="1" t="str">
        <f>Acrescentar1[[#This Row],[Mês]]</f>
        <v>Dezembro</v>
      </c>
      <c r="C6" s="33">
        <f>Acrescentar1[[#This Row],[Ano]]</f>
        <v>2024</v>
      </c>
      <c r="D6" t="str">
        <f>VLOOKUP(Tbl_operations[[#This Row],[Categoria]],$N$3:$O$111,2,0)</f>
        <v>PEDAGIO/ESTAC</v>
      </c>
      <c r="E6" t="str">
        <f>Acrescentar1[[#This Row],[Coluna2]]</f>
        <v>AUTOPISTA FERNAO</v>
      </c>
      <c r="F6" t="str">
        <f>Acrescentar1[[#This Row],[Historico]]</f>
        <v>COMPRA</v>
      </c>
      <c r="G6" s="6">
        <f>IF(Tbl_operations[[#This Row],[Operação Bancária]]="D",Acrescentar1[[#This Row],[Valor]]/100,Acrescentar1[[#This Row],[Valor]]/100)</f>
        <v>2.9</v>
      </c>
      <c r="H6" t="str">
        <f>Acrescentar1[[#This Row],[Deb_Cred]]</f>
        <v>D</v>
      </c>
      <c r="I6">
        <f>IF(Tbl_operations[[#This Row],[Status]]="POUPANÇA",Controller!$H$17,0)</f>
        <v>0</v>
      </c>
      <c r="J6" t="str">
        <f>IF(Tbl_operations[[#This Row],[Operação Bancária]]="C", "ENTRADA",IF(Tbl_operations[[#This Row],[Operação Bancária]]="P","POUPANÇA","SAIDA"))</f>
        <v>SAIDA</v>
      </c>
      <c r="N6" s="8" t="s">
        <v>37</v>
      </c>
      <c r="O6" t="s">
        <v>98</v>
      </c>
    </row>
    <row r="7" spans="1:16" x14ac:dyDescent="0.3">
      <c r="A7" s="1">
        <f>Acrescentar1[[#This Row],[Data_Mov]]</f>
        <v>45628</v>
      </c>
      <c r="B7" s="1" t="str">
        <f>Acrescentar1[[#This Row],[Mês]]</f>
        <v>Dezembro</v>
      </c>
      <c r="C7" s="33">
        <f>Acrescentar1[[#This Row],[Ano]]</f>
        <v>2024</v>
      </c>
      <c r="D7" t="str">
        <f>VLOOKUP(Tbl_operations[[#This Row],[Categoria]],$N$3:$O$111,2,0)</f>
        <v>RESGATE INVEST</v>
      </c>
      <c r="E7" t="str">
        <f>Acrescentar1[[#This Row],[Coluna2]]</f>
        <v>CRB FPAY</v>
      </c>
      <c r="F7" t="str">
        <f>Acrescentar1[[#This Row],[Historico]]</f>
        <v>COMPRA</v>
      </c>
      <c r="G7" s="6">
        <f>IF(Tbl_operations[[#This Row],[Operação Bancária]]="D",Acrescentar1[[#This Row],[Valor]]/100,Acrescentar1[[#This Row],[Valor]]/100)</f>
        <v>10.1</v>
      </c>
      <c r="H7" t="str">
        <f>Acrescentar1[[#This Row],[Deb_Cred]]</f>
        <v>D</v>
      </c>
      <c r="I7">
        <f>IF(Tbl_operations[[#This Row],[Status]]="POUPANÇA",Controller!$H$17,0)</f>
        <v>0</v>
      </c>
      <c r="J7" t="str">
        <f>IF(Tbl_operations[[#This Row],[Operação Bancária]]="C", "ENTRADA",IF(Tbl_operations[[#This Row],[Operação Bancária]]="P","POUPANÇA","SAIDA"))</f>
        <v>SAIDA</v>
      </c>
      <c r="N7" s="8" t="s">
        <v>75</v>
      </c>
      <c r="O7" t="s">
        <v>99</v>
      </c>
    </row>
    <row r="8" spans="1:16" x14ac:dyDescent="0.3">
      <c r="A8" s="1">
        <f>Acrescentar1[[#This Row],[Data_Mov]]</f>
        <v>45628</v>
      </c>
      <c r="B8" s="1" t="str">
        <f>Acrescentar1[[#This Row],[Mês]]</f>
        <v>Dezembro</v>
      </c>
      <c r="C8" s="33">
        <f>Acrescentar1[[#This Row],[Ano]]</f>
        <v>2024</v>
      </c>
      <c r="D8" t="str">
        <f>VLOOKUP(Tbl_operations[[#This Row],[Categoria]],$N$3:$O$111,2,0)</f>
        <v>SUPERMERCADO</v>
      </c>
      <c r="E8" t="str">
        <f>Acrescentar1[[#This Row],[Coluna2]]</f>
        <v>SUPERMERCADO CATR</v>
      </c>
      <c r="F8" t="str">
        <f>Acrescentar1[[#This Row],[Historico]]</f>
        <v>COMPRA</v>
      </c>
      <c r="G8" s="6">
        <f>IF(Tbl_operations[[#This Row],[Operação Bancária]]="D",Acrescentar1[[#This Row],[Valor]]/100,Acrescentar1[[#This Row],[Valor]]/100)</f>
        <v>49.16</v>
      </c>
      <c r="H8" t="str">
        <f>Acrescentar1[[#This Row],[Deb_Cred]]</f>
        <v>D</v>
      </c>
      <c r="I8">
        <f>IF(Tbl_operations[[#This Row],[Status]]="POUPANÇA",Controller!$H$17,0)</f>
        <v>0</v>
      </c>
      <c r="J8" t="str">
        <f>IF(Tbl_operations[[#This Row],[Operação Bancária]]="C", "ENTRADA",IF(Tbl_operations[[#This Row],[Operação Bancária]]="P","POUPANÇA","SAIDA"))</f>
        <v>SAIDA</v>
      </c>
      <c r="N8" s="8" t="s">
        <v>80</v>
      </c>
      <c r="O8" t="s">
        <v>100</v>
      </c>
    </row>
    <row r="9" spans="1:16" x14ac:dyDescent="0.3">
      <c r="A9" s="1">
        <f>Acrescentar1[[#This Row],[Data_Mov]]</f>
        <v>45628</v>
      </c>
      <c r="B9" s="1" t="str">
        <f>Acrescentar1[[#This Row],[Mês]]</f>
        <v>Dezembro</v>
      </c>
      <c r="C9" s="33">
        <f>Acrescentar1[[#This Row],[Ano]]</f>
        <v>2024</v>
      </c>
      <c r="D9" t="str">
        <f>VLOOKUP(Tbl_operations[[#This Row],[Categoria]],$N$3:$O$111,2,0)</f>
        <v>TX_JUROS-IOF</v>
      </c>
      <c r="E9" t="str">
        <f>Acrescentar1[[#This Row],[Coluna2]]</f>
        <v>DEB IOF</v>
      </c>
      <c r="F9" t="str">
        <f>Acrescentar1[[#This Row],[Historico]]</f>
        <v>DEB IOF</v>
      </c>
      <c r="G9" s="6">
        <f>IF(Tbl_operations[[#This Row],[Operação Bancária]]="D",Acrescentar1[[#This Row],[Valor]]/100,Acrescentar1[[#This Row],[Valor]]/100)</f>
        <v>6.23</v>
      </c>
      <c r="H9" t="str">
        <f>Acrescentar1[[#This Row],[Deb_Cred]]</f>
        <v>D</v>
      </c>
      <c r="I9">
        <f>IF(Tbl_operations[[#This Row],[Status]]="POUPANÇA",Controller!$H$17,0)</f>
        <v>0</v>
      </c>
      <c r="J9" t="str">
        <f>IF(Tbl_operations[[#This Row],[Operação Bancária]]="C", "ENTRADA",IF(Tbl_operations[[#This Row],[Operação Bancária]]="P","POUPANÇA","SAIDA"))</f>
        <v>SAIDA</v>
      </c>
      <c r="N9" s="8" t="s">
        <v>25</v>
      </c>
      <c r="O9" t="s">
        <v>94</v>
      </c>
    </row>
    <row r="10" spans="1:16" x14ac:dyDescent="0.3">
      <c r="A10" s="1">
        <f>Acrescentar1[[#This Row],[Data_Mov]]</f>
        <v>45628</v>
      </c>
      <c r="B10" s="1" t="str">
        <f>Acrescentar1[[#This Row],[Mês]]</f>
        <v>Dezembro</v>
      </c>
      <c r="C10" s="33">
        <f>Acrescentar1[[#This Row],[Ano]]</f>
        <v>2024</v>
      </c>
      <c r="D10" t="str">
        <f>VLOOKUP(Tbl_operations[[#This Row],[Categoria]],$N$3:$O$111,2,0)</f>
        <v>TX_JUROS-IOF</v>
      </c>
      <c r="E10" t="str">
        <f>Acrescentar1[[#This Row],[Coluna2]]</f>
        <v>DEB JUROS</v>
      </c>
      <c r="F10" t="str">
        <f>Acrescentar1[[#This Row],[Historico]]</f>
        <v>DEB JUROS</v>
      </c>
      <c r="G10" s="6">
        <f>IF(Tbl_operations[[#This Row],[Operação Bancária]]="D",Acrescentar1[[#This Row],[Valor]]/100,Acrescentar1[[#This Row],[Valor]]/100)</f>
        <v>57.1</v>
      </c>
      <c r="H10" t="str">
        <f>Acrescentar1[[#This Row],[Deb_Cred]]</f>
        <v>D</v>
      </c>
      <c r="I10">
        <f>IF(Tbl_operations[[#This Row],[Status]]="POUPANÇA",Controller!$H$17,0)</f>
        <v>0</v>
      </c>
      <c r="J10" t="str">
        <f>IF(Tbl_operations[[#This Row],[Operação Bancária]]="C", "ENTRADA",IF(Tbl_operations[[#This Row],[Operação Bancária]]="P","POUPANÇA","SAIDA"))</f>
        <v>SAIDA</v>
      </c>
      <c r="N10" s="8" t="s">
        <v>41</v>
      </c>
      <c r="O10" t="s">
        <v>101</v>
      </c>
    </row>
    <row r="11" spans="1:16" x14ac:dyDescent="0.3">
      <c r="A11" s="1">
        <f>Acrescentar1[[#This Row],[Data_Mov]]</f>
        <v>45628</v>
      </c>
      <c r="B11" s="1" t="str">
        <f>Acrescentar1[[#This Row],[Mês]]</f>
        <v>Dezembro</v>
      </c>
      <c r="C11" s="33">
        <f>Acrescentar1[[#This Row],[Ano]]</f>
        <v>2024</v>
      </c>
      <c r="D11" t="str">
        <f>VLOOKUP(Tbl_operations[[#This Row],[Categoria]],$N$3:$O$111,2,0)</f>
        <v>SALDO</v>
      </c>
      <c r="E11" t="str">
        <f>Acrescentar1[[#This Row],[Coluna2]]</f>
        <v>SALDO DIA</v>
      </c>
      <c r="F11" t="str">
        <f>Acrescentar1[[#This Row],[Historico]]</f>
        <v>SALDO DIA</v>
      </c>
      <c r="G11" s="6">
        <f>IF(Tbl_operations[[#This Row],[Operação Bancária]]="D",Acrescentar1[[#This Row],[Valor]]/100,Acrescentar1[[#This Row],[Valor]]/100)</f>
        <v>0</v>
      </c>
      <c r="H11" t="str">
        <f>Acrescentar1[[#This Row],[Deb_Cred]]</f>
        <v>D</v>
      </c>
      <c r="I11">
        <f>IF(Tbl_operations[[#This Row],[Status]]="POUPANÇA",Controller!$H$17,0)</f>
        <v>0</v>
      </c>
      <c r="J11" t="str">
        <f>IF(Tbl_operations[[#This Row],[Operação Bancária]]="C", "ENTRADA",IF(Tbl_operations[[#This Row],[Operação Bancária]]="P","POUPANÇA","SAIDA"))</f>
        <v>SAIDA</v>
      </c>
      <c r="N11" s="8" t="s">
        <v>94</v>
      </c>
      <c r="O11" t="s">
        <v>94</v>
      </c>
    </row>
    <row r="12" spans="1:16" x14ac:dyDescent="0.3">
      <c r="A12" s="1">
        <f>Acrescentar1[[#This Row],[Data_Mov]]</f>
        <v>45629</v>
      </c>
      <c r="B12" s="1" t="str">
        <f>Acrescentar1[[#This Row],[Mês]]</f>
        <v>Dezembro</v>
      </c>
      <c r="C12" s="33">
        <f>Acrescentar1[[#This Row],[Ano]]</f>
        <v>2024</v>
      </c>
      <c r="D12" t="str">
        <f>VLOOKUP(Tbl_operations[[#This Row],[Categoria]],$N$3:$O$111,2,0)</f>
        <v>SALDO</v>
      </c>
      <c r="E12" t="str">
        <f>Acrescentar1[[#This Row],[Coluna2]]</f>
        <v>SALDO DIA</v>
      </c>
      <c r="F12" t="str">
        <f>Acrescentar1[[#This Row],[Historico]]</f>
        <v>SALDO DIA</v>
      </c>
      <c r="G12" s="6">
        <f>IF(Tbl_operations[[#This Row],[Operação Bancária]]="D",Acrescentar1[[#This Row],[Valor]]/100,Acrescentar1[[#This Row],[Valor]]/100)</f>
        <v>0</v>
      </c>
      <c r="H12" t="str">
        <f>Acrescentar1[[#This Row],[Deb_Cred]]</f>
        <v>D</v>
      </c>
      <c r="I12">
        <f>IF(Tbl_operations[[#This Row],[Status]]="POUPANÇA",Controller!$H$17,0)</f>
        <v>0</v>
      </c>
      <c r="J12" t="str">
        <f>IF(Tbl_operations[[#This Row],[Operação Bancária]]="C", "ENTRADA",IF(Tbl_operations[[#This Row],[Operação Bancária]]="P","POUPANÇA","SAIDA"))</f>
        <v>SAIDA</v>
      </c>
      <c r="N12" s="8" t="s">
        <v>20</v>
      </c>
      <c r="O12" t="s">
        <v>102</v>
      </c>
    </row>
    <row r="13" spans="1:16" x14ac:dyDescent="0.3">
      <c r="A13" s="1">
        <f>Acrescentar1[[#This Row],[Data_Mov]]</f>
        <v>45630</v>
      </c>
      <c r="B13" s="1" t="str">
        <f>Acrescentar1[[#This Row],[Mês]]</f>
        <v>Dezembro</v>
      </c>
      <c r="C13" s="33">
        <f>Acrescentar1[[#This Row],[Ano]]</f>
        <v>2024</v>
      </c>
      <c r="D13" t="str">
        <f>VLOOKUP(Tbl_operations[[#This Row],[Categoria]],$N$3:$O$111,2,0)</f>
        <v>COMBUSTIVEL</v>
      </c>
      <c r="E13" t="str">
        <f>Acrescentar1[[#This Row],[Coluna2]]</f>
        <v>PParada</v>
      </c>
      <c r="F13" t="str">
        <f>Acrescentar1[[#This Row],[Historico]]</f>
        <v>COMPRA</v>
      </c>
      <c r="G13" s="6">
        <f>IF(Tbl_operations[[#This Row],[Operação Bancária]]="D",Acrescentar1[[#This Row],[Valor]]/100,Acrescentar1[[#This Row],[Valor]]/100)</f>
        <v>100</v>
      </c>
      <c r="H13" t="str">
        <f>Acrescentar1[[#This Row],[Deb_Cred]]</f>
        <v>D</v>
      </c>
      <c r="I13">
        <f>IF(Tbl_operations[[#This Row],[Status]]="POUPANÇA",Controller!$H$17,0)</f>
        <v>0</v>
      </c>
      <c r="J13" t="str">
        <f>IF(Tbl_operations[[#This Row],[Operação Bancária]]="C", "ENTRADA",IF(Tbl_operations[[#This Row],[Operação Bancária]]="P","POUPANÇA","SAIDA"))</f>
        <v>SAIDA</v>
      </c>
      <c r="N13" s="8" t="s">
        <v>12</v>
      </c>
      <c r="O13" t="s">
        <v>117</v>
      </c>
    </row>
    <row r="14" spans="1:16" x14ac:dyDescent="0.3">
      <c r="A14" s="1">
        <f>Acrescentar1[[#This Row],[Data_Mov]]</f>
        <v>45630</v>
      </c>
      <c r="B14" s="1" t="str">
        <f>Acrescentar1[[#This Row],[Mês]]</f>
        <v>Dezembro</v>
      </c>
      <c r="C14" s="33">
        <f>Acrescentar1[[#This Row],[Ano]]</f>
        <v>2024</v>
      </c>
      <c r="D14" t="str">
        <f>VLOOKUP(Tbl_operations[[#This Row],[Categoria]],$N$3:$O$111,2,0)</f>
        <v>SALDO</v>
      </c>
      <c r="E14" t="str">
        <f>Acrescentar1[[#This Row],[Coluna2]]</f>
        <v>SALDO DIA</v>
      </c>
      <c r="F14" t="str">
        <f>Acrescentar1[[#This Row],[Historico]]</f>
        <v>SALDO DIA</v>
      </c>
      <c r="G14" s="6">
        <f>IF(Tbl_operations[[#This Row],[Operação Bancária]]="D",Acrescentar1[[#This Row],[Valor]]/100,Acrescentar1[[#This Row],[Valor]]/100)</f>
        <v>0</v>
      </c>
      <c r="H14" t="str">
        <f>Acrescentar1[[#This Row],[Deb_Cred]]</f>
        <v>D</v>
      </c>
      <c r="I14">
        <f>IF(Tbl_operations[[#This Row],[Status]]="POUPANÇA",Controller!$H$17,0)</f>
        <v>0</v>
      </c>
      <c r="J14" t="str">
        <f>IF(Tbl_operations[[#This Row],[Operação Bancária]]="C", "ENTRADA",IF(Tbl_operations[[#This Row],[Operação Bancária]]="P","POUPANÇA","SAIDA"))</f>
        <v>SAIDA</v>
      </c>
      <c r="N14" s="8" t="s">
        <v>23</v>
      </c>
      <c r="O14" t="s">
        <v>103</v>
      </c>
      <c r="P14" t="s">
        <v>185</v>
      </c>
    </row>
    <row r="15" spans="1:16" x14ac:dyDescent="0.3">
      <c r="A15" s="1">
        <f>Acrescentar1[[#This Row],[Data_Mov]]</f>
        <v>45631</v>
      </c>
      <c r="B15" s="1" t="str">
        <f>Acrescentar1[[#This Row],[Mês]]</f>
        <v>Dezembro</v>
      </c>
      <c r="C15" s="33">
        <f>Acrescentar1[[#This Row],[Ano]]</f>
        <v>2024</v>
      </c>
      <c r="D15" t="str">
        <f>VLOOKUP(Tbl_operations[[#This Row],[Categoria]],$N$3:$O$111,2,0)</f>
        <v>PAI-DIRCE</v>
      </c>
      <c r="E15" t="str">
        <f>Acrescentar1[[#This Row],[Coluna2]]</f>
        <v>DEB WHATS</v>
      </c>
      <c r="F15" t="str">
        <f>Acrescentar1[[#This Row],[Historico]]</f>
        <v>DEB WHATS</v>
      </c>
      <c r="G15" s="6">
        <f>IF(Tbl_operations[[#This Row],[Operação Bancária]]="D",Acrescentar1[[#This Row],[Valor]]/100,Acrescentar1[[#This Row],[Valor]]/100)</f>
        <v>50</v>
      </c>
      <c r="H15" t="str">
        <f>Acrescentar1[[#This Row],[Deb_Cred]]</f>
        <v>D</v>
      </c>
      <c r="I15">
        <f>IF(Tbl_operations[[#This Row],[Status]]="POUPANÇA",Controller!$H$17,0)</f>
        <v>0</v>
      </c>
      <c r="J15" t="str">
        <f>IF(Tbl_operations[[#This Row],[Operação Bancária]]="C", "ENTRADA",IF(Tbl_operations[[#This Row],[Operação Bancária]]="P","POUPANÇA","SAIDA"))</f>
        <v>SAIDA</v>
      </c>
      <c r="N15" s="8" t="s">
        <v>16</v>
      </c>
      <c r="O15" t="s">
        <v>104</v>
      </c>
    </row>
    <row r="16" spans="1:16" x14ac:dyDescent="0.3">
      <c r="A16" s="1">
        <f>Acrescentar1[[#This Row],[Data_Mov]]</f>
        <v>45631</v>
      </c>
      <c r="B16" s="1" t="str">
        <f>Acrescentar1[[#This Row],[Mês]]</f>
        <v>Dezembro</v>
      </c>
      <c r="C16" s="33">
        <f>Acrescentar1[[#This Row],[Ano]]</f>
        <v>2024</v>
      </c>
      <c r="D16" t="str">
        <f>VLOOKUP(Tbl_operations[[#This Row],[Categoria]],$N$3:$O$111,2,0)</f>
        <v>SALDO</v>
      </c>
      <c r="E16" t="str">
        <f>Acrescentar1[[#This Row],[Coluna2]]</f>
        <v>SALDO DIA</v>
      </c>
      <c r="F16" t="str">
        <f>Acrescentar1[[#This Row],[Historico]]</f>
        <v>SALDO DIA</v>
      </c>
      <c r="G16" s="6">
        <f>IF(Tbl_operations[[#This Row],[Operação Bancária]]="D",Acrescentar1[[#This Row],[Valor]]/100,Acrescentar1[[#This Row],[Valor]]/100)</f>
        <v>0</v>
      </c>
      <c r="H16" t="str">
        <f>Acrescentar1[[#This Row],[Deb_Cred]]</f>
        <v>D</v>
      </c>
      <c r="I16">
        <f>IF(Tbl_operations[[#This Row],[Status]]="POUPANÇA",Controller!$H$17,0)</f>
        <v>0</v>
      </c>
      <c r="J16" t="str">
        <f>IF(Tbl_operations[[#This Row],[Operação Bancária]]="C", "ENTRADA",IF(Tbl_operations[[#This Row],[Operação Bancária]]="P","POUPANÇA","SAIDA"))</f>
        <v>SAIDA</v>
      </c>
      <c r="N16" s="8" t="s">
        <v>30</v>
      </c>
      <c r="O16" t="s">
        <v>105</v>
      </c>
    </row>
    <row r="17" spans="1:16" x14ac:dyDescent="0.3">
      <c r="A17" s="1">
        <f>Acrescentar1[[#This Row],[Data_Mov]]</f>
        <v>45632</v>
      </c>
      <c r="B17" s="1" t="str">
        <f>Acrescentar1[[#This Row],[Mês]]</f>
        <v>Dezembro</v>
      </c>
      <c r="C17" s="33">
        <f>Acrescentar1[[#This Row],[Ano]]</f>
        <v>2024</v>
      </c>
      <c r="D17" t="str">
        <f>VLOOKUP(Tbl_operations[[#This Row],[Categoria]],$N$3:$O$111,2,0)</f>
        <v>PAI-DIRCE</v>
      </c>
      <c r="E17" t="str">
        <f>Acrescentar1[[#This Row],[Coluna2]]</f>
        <v>DEB WHATS</v>
      </c>
      <c r="F17" t="str">
        <f>Acrescentar1[[#This Row],[Historico]]</f>
        <v>DEB WHATS</v>
      </c>
      <c r="G17" s="6">
        <f>IF(Tbl_operations[[#This Row],[Operação Bancária]]="D",Acrescentar1[[#This Row],[Valor]]/100,Acrescentar1[[#This Row],[Valor]]/100)</f>
        <v>10</v>
      </c>
      <c r="H17" t="str">
        <f>Acrescentar1[[#This Row],[Deb_Cred]]</f>
        <v>D</v>
      </c>
      <c r="I17">
        <f>IF(Tbl_operations[[#This Row],[Status]]="POUPANÇA",Controller!$H$17,0)</f>
        <v>0</v>
      </c>
      <c r="J17" t="str">
        <f>IF(Tbl_operations[[#This Row],[Operação Bancária]]="C", "ENTRADA",IF(Tbl_operations[[#This Row],[Operação Bancária]]="P","POUPANÇA","SAIDA"))</f>
        <v>SAIDA</v>
      </c>
      <c r="N17" s="8" t="s">
        <v>17</v>
      </c>
      <c r="O17" t="s">
        <v>104</v>
      </c>
    </row>
    <row r="18" spans="1:16" x14ac:dyDescent="0.3">
      <c r="A18" s="1">
        <f>Acrescentar1[[#This Row],[Data_Mov]]</f>
        <v>45632</v>
      </c>
      <c r="B18" s="1" t="str">
        <f>Acrescentar1[[#This Row],[Mês]]</f>
        <v>Dezembro</v>
      </c>
      <c r="C18" s="33">
        <f>Acrescentar1[[#This Row],[Ano]]</f>
        <v>2024</v>
      </c>
      <c r="D18" t="str">
        <f>VLOOKUP(Tbl_operations[[#This Row],[Categoria]],$N$3:$O$111,2,0)</f>
        <v>PAI-DIRCE</v>
      </c>
      <c r="E18" t="str">
        <f>Acrescentar1[[#This Row],[Coluna2]]</f>
        <v>ENVIO PIX</v>
      </c>
      <c r="F18" t="str">
        <f>Acrescentar1[[#This Row],[Historico]]</f>
        <v>ENVIO PIX</v>
      </c>
      <c r="G18" s="6">
        <f>IF(Tbl_operations[[#This Row],[Operação Bancária]]="D",Acrescentar1[[#This Row],[Valor]]/100,Acrescentar1[[#This Row],[Valor]]/100)</f>
        <v>60</v>
      </c>
      <c r="H18" t="str">
        <f>Acrescentar1[[#This Row],[Deb_Cred]]</f>
        <v>D</v>
      </c>
      <c r="I18">
        <f>IF(Tbl_operations[[#This Row],[Status]]="POUPANÇA",Controller!$H$17,0)</f>
        <v>0</v>
      </c>
      <c r="J18" t="str">
        <f>IF(Tbl_operations[[#This Row],[Operação Bancária]]="C", "ENTRADA",IF(Tbl_operations[[#This Row],[Operação Bancária]]="P","POUPANÇA","SAIDA"))</f>
        <v>SAIDA</v>
      </c>
      <c r="N18" s="8" t="s">
        <v>14</v>
      </c>
      <c r="O18" t="s">
        <v>106</v>
      </c>
    </row>
    <row r="19" spans="1:16" x14ac:dyDescent="0.3">
      <c r="A19" s="1">
        <f>Acrescentar1[[#This Row],[Data_Mov]]</f>
        <v>45632</v>
      </c>
      <c r="B19" s="1" t="str">
        <f>Acrescentar1[[#This Row],[Mês]]</f>
        <v>Dezembro</v>
      </c>
      <c r="C19" s="33">
        <f>Acrescentar1[[#This Row],[Ano]]</f>
        <v>2024</v>
      </c>
      <c r="D19" t="str">
        <f>VLOOKUP(Tbl_operations[[#This Row],[Categoria]],$N$3:$O$111,2,0)</f>
        <v>SALDO</v>
      </c>
      <c r="E19" t="str">
        <f>Acrescentar1[[#This Row],[Coluna2]]</f>
        <v>SALDO DIA</v>
      </c>
      <c r="F19" t="str">
        <f>Acrescentar1[[#This Row],[Historico]]</f>
        <v>SALDO DIA</v>
      </c>
      <c r="G19" s="6">
        <f>IF(Tbl_operations[[#This Row],[Operação Bancária]]="D",Acrescentar1[[#This Row],[Valor]]/100,Acrescentar1[[#This Row],[Valor]]/100)</f>
        <v>0</v>
      </c>
      <c r="H19" t="str">
        <f>Acrescentar1[[#This Row],[Deb_Cred]]</f>
        <v>D</v>
      </c>
      <c r="I19">
        <f>IF(Tbl_operations[[#This Row],[Status]]="POUPANÇA",Controller!$H$17,0)</f>
        <v>0</v>
      </c>
      <c r="J19" t="str">
        <f>IF(Tbl_operations[[#This Row],[Operação Bancária]]="C", "ENTRADA",IF(Tbl_operations[[#This Row],[Operação Bancária]]="P","POUPANÇA","SAIDA"))</f>
        <v>SAIDA</v>
      </c>
      <c r="N19" s="8" t="s">
        <v>32</v>
      </c>
      <c r="O19" t="s">
        <v>107</v>
      </c>
      <c r="P19" t="s">
        <v>185</v>
      </c>
    </row>
    <row r="20" spans="1:16" x14ac:dyDescent="0.3">
      <c r="A20" s="1">
        <f>Acrescentar1[[#This Row],[Data_Mov]]</f>
        <v>45635</v>
      </c>
      <c r="B20" s="1" t="str">
        <f>Acrescentar1[[#This Row],[Mês]]</f>
        <v>Dezembro</v>
      </c>
      <c r="C20" s="33">
        <f>Acrescentar1[[#This Row],[Ano]]</f>
        <v>2024</v>
      </c>
      <c r="D20" t="str">
        <f>VLOOKUP(Tbl_operations[[#This Row],[Categoria]],$N$3:$O$111,2,0)</f>
        <v>PAI-DIRCE</v>
      </c>
      <c r="E20" t="str">
        <f>Acrescentar1[[#This Row],[Coluna2]]</f>
        <v>ENVIO PIX</v>
      </c>
      <c r="F20" t="str">
        <f>Acrescentar1[[#This Row],[Historico]]</f>
        <v>ENVIO PIX</v>
      </c>
      <c r="G20" s="6">
        <f>IF(Tbl_operations[[#This Row],[Operação Bancária]]="D",Acrescentar1[[#This Row],[Valor]]/100,Acrescentar1[[#This Row],[Valor]]/100)</f>
        <v>108</v>
      </c>
      <c r="H20" t="str">
        <f>Acrescentar1[[#This Row],[Deb_Cred]]</f>
        <v>D</v>
      </c>
      <c r="I20">
        <f>IF(Tbl_operations[[#This Row],[Status]]="POUPANÇA",Controller!$H$17,0)</f>
        <v>0</v>
      </c>
      <c r="J20" t="str">
        <f>IF(Tbl_operations[[#This Row],[Operação Bancária]]="C", "ENTRADA",IF(Tbl_operations[[#This Row],[Operação Bancária]]="P","POUPANÇA","SAIDA"))</f>
        <v>SAIDA</v>
      </c>
      <c r="N20" s="8" t="s">
        <v>22</v>
      </c>
      <c r="O20" t="s">
        <v>108</v>
      </c>
    </row>
    <row r="21" spans="1:16" x14ac:dyDescent="0.3">
      <c r="A21" s="1">
        <f>Acrescentar1[[#This Row],[Data_Mov]]</f>
        <v>45635</v>
      </c>
      <c r="B21" s="1" t="str">
        <f>Acrescentar1[[#This Row],[Mês]]</f>
        <v>Dezembro</v>
      </c>
      <c r="C21" s="33">
        <f>Acrescentar1[[#This Row],[Ano]]</f>
        <v>2024</v>
      </c>
      <c r="D21" t="str">
        <f>VLOOKUP(Tbl_operations[[#This Row],[Categoria]],$N$3:$O$111,2,0)</f>
        <v>PART JLF</v>
      </c>
      <c r="E21" t="str">
        <f>Acrescentar1[[#This Row],[Coluna2]]</f>
        <v>CRED PIX</v>
      </c>
      <c r="F21" t="str">
        <f>Acrescentar1[[#This Row],[Historico]]</f>
        <v>CRED PIX</v>
      </c>
      <c r="G21" s="6">
        <f>IF(Tbl_operations[[#This Row],[Operação Bancária]]="D",Acrescentar1[[#This Row],[Valor]]/100,Acrescentar1[[#This Row],[Valor]]/100)</f>
        <v>50</v>
      </c>
      <c r="H21" t="str">
        <f>Acrescentar1[[#This Row],[Deb_Cred]]</f>
        <v>C</v>
      </c>
      <c r="I21">
        <f>IF(Tbl_operations[[#This Row],[Status]]="POUPANÇA",Controller!$H$17,0)</f>
        <v>0</v>
      </c>
      <c r="J21" t="str">
        <f>IF(Tbl_operations[[#This Row],[Operação Bancária]]="C", "ENTRADA",IF(Tbl_operations[[#This Row],[Operação Bancária]]="P","POUPANÇA","SAIDA"))</f>
        <v>ENTRADA</v>
      </c>
      <c r="N21" s="8" t="s">
        <v>56</v>
      </c>
      <c r="O21" t="s">
        <v>109</v>
      </c>
    </row>
    <row r="22" spans="1:16" x14ac:dyDescent="0.3">
      <c r="A22" s="1">
        <f>Acrescentar1[[#This Row],[Data_Mov]]</f>
        <v>45635</v>
      </c>
      <c r="B22" s="1" t="str">
        <f>Acrescentar1[[#This Row],[Mês]]</f>
        <v>Dezembro</v>
      </c>
      <c r="C22" s="33">
        <f>Acrescentar1[[#This Row],[Ano]]</f>
        <v>2024</v>
      </c>
      <c r="D22" t="str">
        <f>VLOOKUP(Tbl_operations[[#This Row],[Categoria]],$N$3:$O$111,2,0)</f>
        <v>COMBUSTIVEL</v>
      </c>
      <c r="E22" t="str">
        <f>Acrescentar1[[#This Row],[Coluna2]]</f>
        <v>POSTO 72</v>
      </c>
      <c r="F22" t="str">
        <f>Acrescentar1[[#This Row],[Historico]]</f>
        <v>COMPRA</v>
      </c>
      <c r="G22" s="6">
        <f>IF(Tbl_operations[[#This Row],[Operação Bancária]]="D",Acrescentar1[[#This Row],[Valor]]/100,Acrescentar1[[#This Row],[Valor]]/100)</f>
        <v>30</v>
      </c>
      <c r="H22" t="str">
        <f>Acrescentar1[[#This Row],[Deb_Cred]]</f>
        <v>D</v>
      </c>
      <c r="I22">
        <f>IF(Tbl_operations[[#This Row],[Status]]="POUPANÇA",Controller!$H$17,0)</f>
        <v>0</v>
      </c>
      <c r="J22" t="str">
        <f>IF(Tbl_operations[[#This Row],[Operação Bancária]]="C", "ENTRADA",IF(Tbl_operations[[#This Row],[Operação Bancária]]="P","POUPANÇA","SAIDA"))</f>
        <v>SAIDA</v>
      </c>
      <c r="N22" s="8" t="s">
        <v>77</v>
      </c>
      <c r="O22" t="s">
        <v>110</v>
      </c>
    </row>
    <row r="23" spans="1:16" x14ac:dyDescent="0.3">
      <c r="A23" s="1">
        <f>Acrescentar1[[#This Row],[Data_Mov]]</f>
        <v>45635</v>
      </c>
      <c r="B23" s="1" t="str">
        <f>Acrescentar1[[#This Row],[Mês]]</f>
        <v>Dezembro</v>
      </c>
      <c r="C23" s="33">
        <f>Acrescentar1[[#This Row],[Ano]]</f>
        <v>2024</v>
      </c>
      <c r="D23" t="str">
        <f>VLOOKUP(Tbl_operations[[#This Row],[Categoria]],$N$3:$O$111,2,0)</f>
        <v>COMBUSTIVEL</v>
      </c>
      <c r="E23" t="str">
        <f>Acrescentar1[[#This Row],[Coluna2]]</f>
        <v>PParada</v>
      </c>
      <c r="F23" t="str">
        <f>Acrescentar1[[#This Row],[Historico]]</f>
        <v>COMPRA</v>
      </c>
      <c r="G23" s="6">
        <f>IF(Tbl_operations[[#This Row],[Operação Bancária]]="D",Acrescentar1[[#This Row],[Valor]]/100,Acrescentar1[[#This Row],[Valor]]/100)</f>
        <v>100</v>
      </c>
      <c r="H23" t="str">
        <f>Acrescentar1[[#This Row],[Deb_Cred]]</f>
        <v>D</v>
      </c>
      <c r="I23">
        <f>IF(Tbl_operations[[#This Row],[Status]]="POUPANÇA",Controller!$H$17,0)</f>
        <v>0</v>
      </c>
      <c r="J23" t="str">
        <f>IF(Tbl_operations[[#This Row],[Operação Bancária]]="C", "ENTRADA",IF(Tbl_operations[[#This Row],[Operação Bancária]]="P","POUPANÇA","SAIDA"))</f>
        <v>SAIDA</v>
      </c>
      <c r="N23" s="8" t="s">
        <v>19</v>
      </c>
      <c r="O23" t="s">
        <v>106</v>
      </c>
    </row>
    <row r="24" spans="1:16" x14ac:dyDescent="0.3">
      <c r="A24" s="1">
        <f>Acrescentar1[[#This Row],[Data_Mov]]</f>
        <v>45635</v>
      </c>
      <c r="B24" s="1" t="str">
        <f>Acrescentar1[[#This Row],[Mês]]</f>
        <v>Dezembro</v>
      </c>
      <c r="C24" s="33">
        <f>Acrescentar1[[#This Row],[Ano]]</f>
        <v>2024</v>
      </c>
      <c r="D24" t="str">
        <f>VLOOKUP(Tbl_operations[[#This Row],[Categoria]],$N$3:$O$111,2,0)</f>
        <v>SALARIO</v>
      </c>
      <c r="E24" t="str">
        <f>Acrescentar1[[#This Row],[Coluna2]]</f>
        <v>SALARIO</v>
      </c>
      <c r="F24" t="str">
        <f>Acrescentar1[[#This Row],[Historico]]</f>
        <v>SALARIO</v>
      </c>
      <c r="G24" s="6">
        <f>IF(Tbl_operations[[#This Row],[Operação Bancária]]="D",Acrescentar1[[#This Row],[Valor]]/100,Acrescentar1[[#This Row],[Valor]]/100)</f>
        <v>581.77</v>
      </c>
      <c r="H24" t="str">
        <f>Acrescentar1[[#This Row],[Deb_Cred]]</f>
        <v>C</v>
      </c>
      <c r="I24">
        <f>IF(Tbl_operations[[#This Row],[Status]]="POUPANÇA",Controller!$H$17,0)</f>
        <v>0</v>
      </c>
      <c r="J24" t="str">
        <f>IF(Tbl_operations[[#This Row],[Operação Bancária]]="C", "ENTRADA",IF(Tbl_operations[[#This Row],[Operação Bancária]]="P","POUPANÇA","SAIDA"))</f>
        <v>ENTRADA</v>
      </c>
      <c r="N24" s="8" t="s">
        <v>60</v>
      </c>
      <c r="O24" t="s">
        <v>99</v>
      </c>
    </row>
    <row r="25" spans="1:16" x14ac:dyDescent="0.3">
      <c r="A25" s="1">
        <f>Acrescentar1[[#This Row],[Data_Mov]]</f>
        <v>45635</v>
      </c>
      <c r="B25" s="1" t="str">
        <f>Acrescentar1[[#This Row],[Mês]]</f>
        <v>Dezembro</v>
      </c>
      <c r="C25" s="33">
        <f>Acrescentar1[[#This Row],[Ano]]</f>
        <v>2024</v>
      </c>
      <c r="D25" t="str">
        <f>VLOOKUP(Tbl_operations[[#This Row],[Categoria]],$N$3:$O$111,2,0)</f>
        <v>SALDO</v>
      </c>
      <c r="E25" t="str">
        <f>Acrescentar1[[#This Row],[Coluna2]]</f>
        <v>SALDO DIA</v>
      </c>
      <c r="F25" t="str">
        <f>Acrescentar1[[#This Row],[Historico]]</f>
        <v>SALDO DIA</v>
      </c>
      <c r="G25" s="6">
        <f>IF(Tbl_operations[[#This Row],[Operação Bancária]]="D",Acrescentar1[[#This Row],[Valor]]/100,Acrescentar1[[#This Row],[Valor]]/100)</f>
        <v>0</v>
      </c>
      <c r="H25" t="str">
        <f>Acrescentar1[[#This Row],[Deb_Cred]]</f>
        <v>D</v>
      </c>
      <c r="I25">
        <f>IF(Tbl_operations[[#This Row],[Status]]="POUPANÇA",Controller!$H$17,0)</f>
        <v>0</v>
      </c>
      <c r="J25" t="str">
        <f>IF(Tbl_operations[[#This Row],[Operação Bancária]]="C", "ENTRADA",IF(Tbl_operations[[#This Row],[Operação Bancária]]="P","POUPANÇA","SAIDA"))</f>
        <v>SAIDA</v>
      </c>
      <c r="N25" s="8" t="s">
        <v>81</v>
      </c>
      <c r="O25" t="s">
        <v>167</v>
      </c>
    </row>
    <row r="26" spans="1:16" x14ac:dyDescent="0.3">
      <c r="A26" s="1">
        <f>Acrescentar1[[#This Row],[Data_Mov]]</f>
        <v>45636</v>
      </c>
      <c r="B26" s="1" t="str">
        <f>Acrescentar1[[#This Row],[Mês]]</f>
        <v>Dezembro</v>
      </c>
      <c r="C26" s="33">
        <f>Acrescentar1[[#This Row],[Ano]]</f>
        <v>2024</v>
      </c>
      <c r="D26" t="str">
        <f>VLOOKUP(Tbl_operations[[#This Row],[Categoria]],$N$3:$O$111,2,0)</f>
        <v>PAI-DIRCE</v>
      </c>
      <c r="E26" t="str">
        <f>Acrescentar1[[#This Row],[Coluna2]]</f>
        <v>ENVIO PIX</v>
      </c>
      <c r="F26" t="str">
        <f>Acrescentar1[[#This Row],[Historico]]</f>
        <v>ENVIO PIX</v>
      </c>
      <c r="G26" s="6">
        <f>IF(Tbl_operations[[#This Row],[Operação Bancária]]="D",Acrescentar1[[#This Row],[Valor]]/100,Acrescentar1[[#This Row],[Valor]]/100)</f>
        <v>10.02</v>
      </c>
      <c r="H26" t="str">
        <f>Acrescentar1[[#This Row],[Deb_Cred]]</f>
        <v>D</v>
      </c>
      <c r="I26">
        <f>IF(Tbl_operations[[#This Row],[Status]]="POUPANÇA",Controller!$H$17,0)</f>
        <v>0</v>
      </c>
      <c r="J26" t="str">
        <f>IF(Tbl_operations[[#This Row],[Operação Bancária]]="C", "ENTRADA",IF(Tbl_operations[[#This Row],[Operação Bancária]]="P","POUPANÇA","SAIDA"))</f>
        <v>SAIDA</v>
      </c>
      <c r="N26" s="8" t="s">
        <v>62</v>
      </c>
      <c r="O26" t="s">
        <v>110</v>
      </c>
    </row>
    <row r="27" spans="1:16" x14ac:dyDescent="0.3">
      <c r="A27" s="1">
        <f>Acrescentar1[[#This Row],[Data_Mov]]</f>
        <v>45636</v>
      </c>
      <c r="B27" s="1" t="str">
        <f>Acrescentar1[[#This Row],[Mês]]</f>
        <v>Dezembro</v>
      </c>
      <c r="C27" s="33">
        <f>Acrescentar1[[#This Row],[Ano]]</f>
        <v>2024</v>
      </c>
      <c r="D27" t="str">
        <f>VLOOKUP(Tbl_operations[[#This Row],[Categoria]],$N$3:$O$111,2,0)</f>
        <v>DEV</v>
      </c>
      <c r="E27" t="str">
        <f>Acrescentar1[[#This Row],[Coluna2]]</f>
        <v>DEVREC PIX</v>
      </c>
      <c r="F27" t="str">
        <f>Acrescentar1[[#This Row],[Historico]]</f>
        <v>DEVREC PIX</v>
      </c>
      <c r="G27" s="6">
        <f>IF(Tbl_operations[[#This Row],[Operação Bancária]]="D",Acrescentar1[[#This Row],[Valor]]/100,Acrescentar1[[#This Row],[Valor]]/100)</f>
        <v>10.02</v>
      </c>
      <c r="H27" t="str">
        <f>Acrescentar1[[#This Row],[Deb_Cred]]</f>
        <v>C</v>
      </c>
      <c r="I27">
        <f>IF(Tbl_operations[[#This Row],[Status]]="POUPANÇA",Controller!$H$17,0)</f>
        <v>0</v>
      </c>
      <c r="J27" t="str">
        <f>IF(Tbl_operations[[#This Row],[Operação Bancária]]="C", "ENTRADA",IF(Tbl_operations[[#This Row],[Operação Bancária]]="P","POUPANÇA","SAIDA"))</f>
        <v>ENTRADA</v>
      </c>
      <c r="N27" s="8" t="s">
        <v>69</v>
      </c>
      <c r="O27" t="s">
        <v>99</v>
      </c>
    </row>
    <row r="28" spans="1:16" x14ac:dyDescent="0.3">
      <c r="A28" s="1">
        <f>Acrescentar1[[#This Row],[Data_Mov]]</f>
        <v>45636</v>
      </c>
      <c r="B28" s="1" t="str">
        <f>Acrescentar1[[#This Row],[Mês]]</f>
        <v>Dezembro</v>
      </c>
      <c r="C28" s="33">
        <f>Acrescentar1[[#This Row],[Ano]]</f>
        <v>2024</v>
      </c>
      <c r="D28" t="str">
        <f>VLOOKUP(Tbl_operations[[#This Row],[Categoria]],$N$3:$O$111,2,0)</f>
        <v>PAI-DIRCE</v>
      </c>
      <c r="E28" t="str">
        <f>Acrescentar1[[#This Row],[Coluna2]]</f>
        <v>ENVIO PIX</v>
      </c>
      <c r="F28" t="str">
        <f>Acrescentar1[[#This Row],[Historico]]</f>
        <v>ENVIO PIX</v>
      </c>
      <c r="G28" s="6">
        <f>IF(Tbl_operations[[#This Row],[Operação Bancária]]="D",Acrescentar1[[#This Row],[Valor]]/100,Acrescentar1[[#This Row],[Valor]]/100)</f>
        <v>10.02</v>
      </c>
      <c r="H28" t="str">
        <f>Acrescentar1[[#This Row],[Deb_Cred]]</f>
        <v>D</v>
      </c>
      <c r="I28">
        <f>IF(Tbl_operations[[#This Row],[Status]]="POUPANÇA",Controller!$H$17,0)</f>
        <v>0</v>
      </c>
      <c r="J28" t="str">
        <f>IF(Tbl_operations[[#This Row],[Operação Bancária]]="C", "ENTRADA",IF(Tbl_operations[[#This Row],[Operação Bancária]]="P","POUPANÇA","SAIDA"))</f>
        <v>SAIDA</v>
      </c>
      <c r="N28" s="8" t="s">
        <v>68</v>
      </c>
      <c r="O28" t="s">
        <v>118</v>
      </c>
    </row>
    <row r="29" spans="1:16" x14ac:dyDescent="0.3">
      <c r="A29" s="1">
        <f>Acrescentar1[[#This Row],[Data_Mov]]</f>
        <v>45636</v>
      </c>
      <c r="B29" s="1" t="str">
        <f>Acrescentar1[[#This Row],[Mês]]</f>
        <v>Dezembro</v>
      </c>
      <c r="C29" s="33">
        <f>Acrescentar1[[#This Row],[Ano]]</f>
        <v>2024</v>
      </c>
      <c r="D29" t="str">
        <f>VLOOKUP(Tbl_operations[[#This Row],[Categoria]],$N$3:$O$111,2,0)</f>
        <v>DEV</v>
      </c>
      <c r="E29" t="str">
        <f>Acrescentar1[[#This Row],[Coluna2]]</f>
        <v>DEVREC PIX</v>
      </c>
      <c r="F29" t="str">
        <f>Acrescentar1[[#This Row],[Historico]]</f>
        <v>DEVREC PIX</v>
      </c>
      <c r="G29" s="6">
        <f>IF(Tbl_operations[[#This Row],[Operação Bancária]]="D",Acrescentar1[[#This Row],[Valor]]/100,Acrescentar1[[#This Row],[Valor]]/100)</f>
        <v>10.02</v>
      </c>
      <c r="H29" t="str">
        <f>Acrescentar1[[#This Row],[Deb_Cred]]</f>
        <v>C</v>
      </c>
      <c r="I29">
        <f>IF(Tbl_operations[[#This Row],[Status]]="POUPANÇA",Controller!$H$17,0)</f>
        <v>0</v>
      </c>
      <c r="J29" t="str">
        <f>IF(Tbl_operations[[#This Row],[Operação Bancária]]="C", "ENTRADA",IF(Tbl_operations[[#This Row],[Operação Bancária]]="P","POUPANÇA","SAIDA"))</f>
        <v>ENTRADA</v>
      </c>
      <c r="N29" s="8" t="s">
        <v>54</v>
      </c>
      <c r="O29" t="s">
        <v>99</v>
      </c>
    </row>
    <row r="30" spans="1:16" x14ac:dyDescent="0.3">
      <c r="A30" s="1">
        <f>Acrescentar1[[#This Row],[Data_Mov]]</f>
        <v>45636</v>
      </c>
      <c r="B30" s="1" t="str">
        <f>Acrescentar1[[#This Row],[Mês]]</f>
        <v>Dezembro</v>
      </c>
      <c r="C30" s="33">
        <f>Acrescentar1[[#This Row],[Ano]]</f>
        <v>2024</v>
      </c>
      <c r="D30" t="str">
        <f>VLOOKUP(Tbl_operations[[#This Row],[Categoria]],$N$3:$O$111,2,0)</f>
        <v>PAI-DIRCE</v>
      </c>
      <c r="E30" t="str">
        <f>Acrescentar1[[#This Row],[Coluna2]]</f>
        <v>ENVIO PIX</v>
      </c>
      <c r="F30" t="str">
        <f>Acrescentar1[[#This Row],[Historico]]</f>
        <v>ENVIO PIX</v>
      </c>
      <c r="G30" s="6">
        <f>IF(Tbl_operations[[#This Row],[Operação Bancária]]="D",Acrescentar1[[#This Row],[Valor]]/100,Acrescentar1[[#This Row],[Valor]]/100)</f>
        <v>10.02</v>
      </c>
      <c r="H30" t="str">
        <f>Acrescentar1[[#This Row],[Deb_Cred]]</f>
        <v>D</v>
      </c>
      <c r="I30">
        <f>IF(Tbl_operations[[#This Row],[Status]]="POUPANÇA",Controller!$H$17,0)</f>
        <v>0</v>
      </c>
      <c r="J30" t="str">
        <f>IF(Tbl_operations[[#This Row],[Operação Bancária]]="C", "ENTRADA",IF(Tbl_operations[[#This Row],[Operação Bancária]]="P","POUPANÇA","SAIDA"))</f>
        <v>SAIDA</v>
      </c>
      <c r="N30" s="8" t="s">
        <v>64</v>
      </c>
      <c r="O30" t="s">
        <v>99</v>
      </c>
    </row>
    <row r="31" spans="1:16" x14ac:dyDescent="0.3">
      <c r="A31" s="1">
        <f>Acrescentar1[[#This Row],[Data_Mov]]</f>
        <v>45636</v>
      </c>
      <c r="B31" s="1" t="str">
        <f>Acrescentar1[[#This Row],[Mês]]</f>
        <v>Dezembro</v>
      </c>
      <c r="C31" s="33">
        <f>Acrescentar1[[#This Row],[Ano]]</f>
        <v>2024</v>
      </c>
      <c r="D31" t="str">
        <f>VLOOKUP(Tbl_operations[[#This Row],[Categoria]],$N$3:$O$111,2,0)</f>
        <v>DEV</v>
      </c>
      <c r="E31" t="str">
        <f>Acrescentar1[[#This Row],[Coluna2]]</f>
        <v>DEVREC PIX</v>
      </c>
      <c r="F31" t="str">
        <f>Acrescentar1[[#This Row],[Historico]]</f>
        <v>DEVREC PIX</v>
      </c>
      <c r="G31" s="6">
        <f>IF(Tbl_operations[[#This Row],[Operação Bancária]]="D",Acrescentar1[[#This Row],[Valor]]/100,Acrescentar1[[#This Row],[Valor]]/100)</f>
        <v>10.02</v>
      </c>
      <c r="H31" t="str">
        <f>Acrescentar1[[#This Row],[Deb_Cred]]</f>
        <v>C</v>
      </c>
      <c r="I31">
        <f>IF(Tbl_operations[[#This Row],[Status]]="POUPANÇA",Controller!$H$17,0)</f>
        <v>0</v>
      </c>
      <c r="J31" t="str">
        <f>IF(Tbl_operations[[#This Row],[Operação Bancária]]="C", "ENTRADA",IF(Tbl_operations[[#This Row],[Operação Bancária]]="P","POUPANÇA","SAIDA"))</f>
        <v>ENTRADA</v>
      </c>
      <c r="N31" s="8" t="s">
        <v>66</v>
      </c>
      <c r="O31" t="s">
        <v>111</v>
      </c>
    </row>
    <row r="32" spans="1:16" x14ac:dyDescent="0.3">
      <c r="A32" s="1">
        <f>Acrescentar1[[#This Row],[Data_Mov]]</f>
        <v>45636</v>
      </c>
      <c r="B32" s="1" t="str">
        <f>Acrescentar1[[#This Row],[Mês]]</f>
        <v>Dezembro</v>
      </c>
      <c r="C32" s="33">
        <f>Acrescentar1[[#This Row],[Ano]]</f>
        <v>2024</v>
      </c>
      <c r="D32" t="str">
        <f>VLOOKUP(Tbl_operations[[#This Row],[Categoria]],$N$3:$O$111,2,0)</f>
        <v>PAI-DIRCE</v>
      </c>
      <c r="E32" t="str">
        <f>Acrescentar1[[#This Row],[Coluna2]]</f>
        <v>ENVIO PIX</v>
      </c>
      <c r="F32" t="str">
        <f>Acrescentar1[[#This Row],[Historico]]</f>
        <v>ENVIO PIX</v>
      </c>
      <c r="G32" s="6">
        <f>IF(Tbl_operations[[#This Row],[Operação Bancária]]="D",Acrescentar1[[#This Row],[Valor]]/100,Acrescentar1[[#This Row],[Valor]]/100)</f>
        <v>4.9000000000000004</v>
      </c>
      <c r="H32" t="str">
        <f>Acrescentar1[[#This Row],[Deb_Cred]]</f>
        <v>D</v>
      </c>
      <c r="I32">
        <f>IF(Tbl_operations[[#This Row],[Status]]="POUPANÇA",Controller!$H$17,0)</f>
        <v>0</v>
      </c>
      <c r="J32" t="str">
        <f>IF(Tbl_operations[[#This Row],[Operação Bancária]]="C", "ENTRADA",IF(Tbl_operations[[#This Row],[Operação Bancária]]="P","POUPANÇA","SAIDA"))</f>
        <v>SAIDA</v>
      </c>
      <c r="N32" s="8" t="s">
        <v>72</v>
      </c>
      <c r="O32" t="s">
        <v>112</v>
      </c>
    </row>
    <row r="33" spans="1:15" x14ac:dyDescent="0.3">
      <c r="A33" s="1">
        <f>Acrescentar1[[#This Row],[Data_Mov]]</f>
        <v>45636</v>
      </c>
      <c r="B33" s="1" t="str">
        <f>Acrescentar1[[#This Row],[Mês]]</f>
        <v>Dezembro</v>
      </c>
      <c r="C33" s="33">
        <f>Acrescentar1[[#This Row],[Ano]]</f>
        <v>2024</v>
      </c>
      <c r="D33" t="str">
        <f>VLOOKUP(Tbl_operations[[#This Row],[Categoria]],$N$3:$O$111,2,0)</f>
        <v>SALDO</v>
      </c>
      <c r="E33" t="str">
        <f>Acrescentar1[[#This Row],[Coluna2]]</f>
        <v>SALDO DIA</v>
      </c>
      <c r="F33" t="str">
        <f>Acrescentar1[[#This Row],[Historico]]</f>
        <v>SALDO DIA</v>
      </c>
      <c r="G33" s="6">
        <f>IF(Tbl_operations[[#This Row],[Operação Bancária]]="D",Acrescentar1[[#This Row],[Valor]]/100,Acrescentar1[[#This Row],[Valor]]/100)</f>
        <v>0</v>
      </c>
      <c r="H33" t="str">
        <f>Acrescentar1[[#This Row],[Deb_Cred]]</f>
        <v>D</v>
      </c>
      <c r="I33">
        <f>IF(Tbl_operations[[#This Row],[Status]]="POUPANÇA",Controller!$H$17,0)</f>
        <v>0</v>
      </c>
      <c r="J33" t="str">
        <f>IF(Tbl_operations[[#This Row],[Operação Bancária]]="C", "ENTRADA",IF(Tbl_operations[[#This Row],[Operação Bancária]]="P","POUPANÇA","SAIDA"))</f>
        <v>SAIDA</v>
      </c>
      <c r="N33" s="8" t="s">
        <v>85</v>
      </c>
      <c r="O33" t="s">
        <v>99</v>
      </c>
    </row>
    <row r="34" spans="1:15" x14ac:dyDescent="0.3">
      <c r="A34" s="1">
        <f>Acrescentar1[[#This Row],[Data_Mov]]</f>
        <v>45637</v>
      </c>
      <c r="B34" s="1" t="str">
        <f>Acrescentar1[[#This Row],[Mês]]</f>
        <v>Dezembro</v>
      </c>
      <c r="C34" s="33">
        <f>Acrescentar1[[#This Row],[Ano]]</f>
        <v>2024</v>
      </c>
      <c r="D34" t="str">
        <f>VLOOKUP(Tbl_operations[[#This Row],[Categoria]],$N$3:$O$111,2,0)</f>
        <v>PAI-DIRCE</v>
      </c>
      <c r="E34" t="str">
        <f>Acrescentar1[[#This Row],[Coluna2]]</f>
        <v>DEB WHATS</v>
      </c>
      <c r="F34" t="str">
        <f>Acrescentar1[[#This Row],[Historico]]</f>
        <v>DEB WHATS</v>
      </c>
      <c r="G34" s="6">
        <f>IF(Tbl_operations[[#This Row],[Operação Bancária]]="D",Acrescentar1[[#This Row],[Valor]]/100,Acrescentar1[[#This Row],[Valor]]/100)</f>
        <v>40</v>
      </c>
      <c r="H34" t="str">
        <f>Acrescentar1[[#This Row],[Deb_Cred]]</f>
        <v>D</v>
      </c>
      <c r="I34">
        <f>IF(Tbl_operations[[#This Row],[Status]]="POUPANÇA",Controller!$H$17,0)</f>
        <v>0</v>
      </c>
      <c r="J34" t="str">
        <f>IF(Tbl_operations[[#This Row],[Operação Bancária]]="C", "ENTRADA",IF(Tbl_operations[[#This Row],[Operação Bancária]]="P","POUPANÇA","SAIDA"))</f>
        <v>SAIDA</v>
      </c>
      <c r="N34" s="8" t="s">
        <v>83</v>
      </c>
      <c r="O34" t="s">
        <v>112</v>
      </c>
    </row>
    <row r="35" spans="1:15" x14ac:dyDescent="0.3">
      <c r="A35" s="1">
        <f>Acrescentar1[[#This Row],[Data_Mov]]</f>
        <v>45637</v>
      </c>
      <c r="B35" s="1" t="str">
        <f>Acrescentar1[[#This Row],[Mês]]</f>
        <v>Dezembro</v>
      </c>
      <c r="C35" s="33">
        <f>Acrescentar1[[#This Row],[Ano]]</f>
        <v>2024</v>
      </c>
      <c r="D35" t="str">
        <f>VLOOKUP(Tbl_operations[[#This Row],[Categoria]],$N$3:$O$111,2,0)</f>
        <v>COMBUSTIVEL</v>
      </c>
      <c r="E35" t="str">
        <f>Acrescentar1[[#This Row],[Coluna2]]</f>
        <v>PParada</v>
      </c>
      <c r="F35" t="str">
        <f>Acrescentar1[[#This Row],[Historico]]</f>
        <v>COMPRA</v>
      </c>
      <c r="G35" s="6">
        <f>IF(Tbl_operations[[#This Row],[Operação Bancária]]="D",Acrescentar1[[#This Row],[Valor]]/100,Acrescentar1[[#This Row],[Valor]]/100)</f>
        <v>100</v>
      </c>
      <c r="H35" t="str">
        <f>Acrescentar1[[#This Row],[Deb_Cred]]</f>
        <v>D</v>
      </c>
      <c r="I35">
        <f>IF(Tbl_operations[[#This Row],[Status]]="POUPANÇA",Controller!$H$17,0)</f>
        <v>0</v>
      </c>
      <c r="J35" t="str">
        <f>IF(Tbl_operations[[#This Row],[Operação Bancária]]="C", "ENTRADA",IF(Tbl_operations[[#This Row],[Operação Bancária]]="P","POUPANÇA","SAIDA"))</f>
        <v>SAIDA</v>
      </c>
      <c r="N35" s="8" t="s">
        <v>26</v>
      </c>
      <c r="O35" t="s">
        <v>26</v>
      </c>
    </row>
    <row r="36" spans="1:15" x14ac:dyDescent="0.3">
      <c r="A36" s="1">
        <f>Acrescentar1[[#This Row],[Data_Mov]]</f>
        <v>45637</v>
      </c>
      <c r="B36" s="1" t="str">
        <f>Acrescentar1[[#This Row],[Mês]]</f>
        <v>Dezembro</v>
      </c>
      <c r="C36" s="33">
        <f>Acrescentar1[[#This Row],[Ano]]</f>
        <v>2024</v>
      </c>
      <c r="D36" t="str">
        <f>VLOOKUP(Tbl_operations[[#This Row],[Categoria]],$N$3:$O$111,2,0)</f>
        <v>SALDO</v>
      </c>
      <c r="E36" t="str">
        <f>Acrescentar1[[#This Row],[Coluna2]]</f>
        <v>SALDO DIA</v>
      </c>
      <c r="F36" t="str">
        <f>Acrescentar1[[#This Row],[Historico]]</f>
        <v>SALDO DIA</v>
      </c>
      <c r="G36" s="6">
        <f>IF(Tbl_operations[[#This Row],[Operação Bancária]]="D",Acrescentar1[[#This Row],[Valor]]/100,Acrescentar1[[#This Row],[Valor]]/100)</f>
        <v>0</v>
      </c>
      <c r="H36" t="str">
        <f>Acrescentar1[[#This Row],[Deb_Cred]]</f>
        <v>D</v>
      </c>
      <c r="I36">
        <f>IF(Tbl_operations[[#This Row],[Status]]="POUPANÇA",Controller!$H$17,0)</f>
        <v>0</v>
      </c>
      <c r="J36" t="str">
        <f>IF(Tbl_operations[[#This Row],[Operação Bancária]]="C", "ENTRADA",IF(Tbl_operations[[#This Row],[Operação Bancária]]="P","POUPANÇA","SAIDA"))</f>
        <v>SAIDA</v>
      </c>
      <c r="N36" s="8" t="s">
        <v>58</v>
      </c>
      <c r="O36" t="s">
        <v>99</v>
      </c>
    </row>
    <row r="37" spans="1:15" x14ac:dyDescent="0.3">
      <c r="A37" s="1">
        <f>Acrescentar1[[#This Row],[Data_Mov]]</f>
        <v>45638</v>
      </c>
      <c r="B37" s="1" t="str">
        <f>Acrescentar1[[#This Row],[Mês]]</f>
        <v>Dezembro</v>
      </c>
      <c r="C37" s="33">
        <f>Acrescentar1[[#This Row],[Ano]]</f>
        <v>2024</v>
      </c>
      <c r="D37" t="str">
        <f>VLOOKUP(Tbl_operations[[#This Row],[Categoria]],$N$3:$O$111,2,0)</f>
        <v>RESTAURANTE</v>
      </c>
      <c r="E37" t="str">
        <f>Acrescentar1[[#This Row],[Coluna2]]</f>
        <v>GISELDA APARECIDA</v>
      </c>
      <c r="F37" t="str">
        <f>Acrescentar1[[#This Row],[Historico]]</f>
        <v>COMPRA</v>
      </c>
      <c r="G37" s="6">
        <f>IF(Tbl_operations[[#This Row],[Operação Bancária]]="D",Acrescentar1[[#This Row],[Valor]]/100,Acrescentar1[[#This Row],[Valor]]/100)</f>
        <v>135</v>
      </c>
      <c r="H37" t="str">
        <f>Acrescentar1[[#This Row],[Deb_Cred]]</f>
        <v>D</v>
      </c>
      <c r="I37">
        <f>IF(Tbl_operations[[#This Row],[Status]]="POUPANÇA",Controller!$H$17,0)</f>
        <v>0</v>
      </c>
      <c r="J37" t="str">
        <f>IF(Tbl_operations[[#This Row],[Operação Bancária]]="C", "ENTRADA",IF(Tbl_operations[[#This Row],[Operação Bancária]]="P","POUPANÇA","SAIDA"))</f>
        <v>SAIDA</v>
      </c>
      <c r="N37" s="8" t="s">
        <v>88</v>
      </c>
      <c r="O37" t="s">
        <v>99</v>
      </c>
    </row>
    <row r="38" spans="1:15" x14ac:dyDescent="0.3">
      <c r="A38" s="1">
        <f>Acrescentar1[[#This Row],[Data_Mov]]</f>
        <v>45638</v>
      </c>
      <c r="B38" s="1" t="str">
        <f>Acrescentar1[[#This Row],[Mês]]</f>
        <v>Dezembro</v>
      </c>
      <c r="C38" s="33">
        <f>Acrescentar1[[#This Row],[Ano]]</f>
        <v>2024</v>
      </c>
      <c r="D38" t="str">
        <f>VLOOKUP(Tbl_operations[[#This Row],[Categoria]],$N$3:$O$111,2,0)</f>
        <v>SUPERMERCADO</v>
      </c>
      <c r="E38" t="str">
        <f>Acrescentar1[[#This Row],[Coluna2]]</f>
        <v>DIA FRANQUIA LJ 9</v>
      </c>
      <c r="F38" t="str">
        <f>Acrescentar1[[#This Row],[Historico]]</f>
        <v>COMPRA</v>
      </c>
      <c r="G38" s="6">
        <f>IF(Tbl_operations[[#This Row],[Operação Bancária]]="D",Acrescentar1[[#This Row],[Valor]]/100,Acrescentar1[[#This Row],[Valor]]/100)</f>
        <v>32.659999999999997</v>
      </c>
      <c r="H38" t="str">
        <f>Acrescentar1[[#This Row],[Deb_Cred]]</f>
        <v>D</v>
      </c>
      <c r="I38">
        <f>IF(Tbl_operations[[#This Row],[Status]]="POUPANÇA",Controller!$H$17,0)</f>
        <v>0</v>
      </c>
      <c r="J38" t="str">
        <f>IF(Tbl_operations[[#This Row],[Operação Bancária]]="C", "ENTRADA",IF(Tbl_operations[[#This Row],[Operação Bancária]]="P","POUPANÇA","SAIDA"))</f>
        <v>SAIDA</v>
      </c>
      <c r="N38" s="8" t="s">
        <v>50</v>
      </c>
      <c r="O38" t="s">
        <v>98</v>
      </c>
    </row>
    <row r="39" spans="1:15" x14ac:dyDescent="0.3">
      <c r="A39" s="1">
        <f>Acrescentar1[[#This Row],[Data_Mov]]</f>
        <v>45638</v>
      </c>
      <c r="B39" s="1" t="str">
        <f>Acrescentar1[[#This Row],[Mês]]</f>
        <v>Dezembro</v>
      </c>
      <c r="C39" s="33">
        <f>Acrescentar1[[#This Row],[Ano]]</f>
        <v>2024</v>
      </c>
      <c r="D39" t="str">
        <f>VLOOKUP(Tbl_operations[[#This Row],[Categoria]],$N$3:$O$111,2,0)</f>
        <v>SALDO</v>
      </c>
      <c r="E39" t="str">
        <f>Acrescentar1[[#This Row],[Coluna2]]</f>
        <v>SALDO DIA</v>
      </c>
      <c r="F39" t="str">
        <f>Acrescentar1[[#This Row],[Historico]]</f>
        <v>SALDO DIA</v>
      </c>
      <c r="G39" s="6">
        <f>IF(Tbl_operations[[#This Row],[Operação Bancária]]="D",Acrescentar1[[#This Row],[Valor]]/100,Acrescentar1[[#This Row],[Valor]]/100)</f>
        <v>0</v>
      </c>
      <c r="H39" t="str">
        <f>Acrescentar1[[#This Row],[Deb_Cred]]</f>
        <v>D</v>
      </c>
      <c r="I39">
        <f>IF(Tbl_operations[[#This Row],[Status]]="POUPANÇA",Controller!$H$17,0)</f>
        <v>0</v>
      </c>
      <c r="J39" t="str">
        <f>IF(Tbl_operations[[#This Row],[Operação Bancária]]="C", "ENTRADA",IF(Tbl_operations[[#This Row],[Operação Bancária]]="P","POUPANÇA","SAIDA"))</f>
        <v>SAIDA</v>
      </c>
      <c r="N39" s="8" t="s">
        <v>45</v>
      </c>
      <c r="O39" t="s">
        <v>98</v>
      </c>
    </row>
    <row r="40" spans="1:15" x14ac:dyDescent="0.3">
      <c r="A40" s="1">
        <f>Acrescentar1[[#This Row],[Data_Mov]]</f>
        <v>45639</v>
      </c>
      <c r="B40" s="1" t="str">
        <f>Acrescentar1[[#This Row],[Mês]]</f>
        <v>Dezembro</v>
      </c>
      <c r="C40" s="33">
        <f>Acrescentar1[[#This Row],[Ano]]</f>
        <v>2024</v>
      </c>
      <c r="D40" t="str">
        <f>VLOOKUP(Tbl_operations[[#This Row],[Categoria]],$N$3:$O$111,2,0)</f>
        <v>SALARIO</v>
      </c>
      <c r="E40" t="str">
        <f>Acrescentar1[[#This Row],[Coluna2]]</f>
        <v>SALARIO</v>
      </c>
      <c r="F40" t="str">
        <f>Acrescentar1[[#This Row],[Historico]]</f>
        <v>SALARIO</v>
      </c>
      <c r="G40" s="6">
        <f>IF(Tbl_operations[[#This Row],[Operação Bancária]]="D",Acrescentar1[[#This Row],[Valor]]/100,Acrescentar1[[#This Row],[Valor]]/100)</f>
        <v>5670.45</v>
      </c>
      <c r="H40" t="str">
        <f>Acrescentar1[[#This Row],[Deb_Cred]]</f>
        <v>C</v>
      </c>
      <c r="I40">
        <f>IF(Tbl_operations[[#This Row],[Status]]="POUPANÇA",Controller!$H$17,0)</f>
        <v>0</v>
      </c>
      <c r="J40" t="str">
        <f>IF(Tbl_operations[[#This Row],[Operação Bancária]]="C", "ENTRADA",IF(Tbl_operations[[#This Row],[Operação Bancária]]="P","POUPANÇA","SAIDA"))</f>
        <v>ENTRADA</v>
      </c>
      <c r="N40" s="8" t="s">
        <v>27</v>
      </c>
      <c r="O40" t="s">
        <v>113</v>
      </c>
    </row>
    <row r="41" spans="1:15" x14ac:dyDescent="0.3">
      <c r="A41" s="1">
        <f>Acrescentar1[[#This Row],[Data_Mov]]</f>
        <v>45639</v>
      </c>
      <c r="B41" s="1" t="str">
        <f>Acrescentar1[[#This Row],[Mês]]</f>
        <v>Dezembro</v>
      </c>
      <c r="C41" s="33">
        <f>Acrescentar1[[#This Row],[Ano]]</f>
        <v>2024</v>
      </c>
      <c r="D41" t="str">
        <f>VLOOKUP(Tbl_operations[[#This Row],[Categoria]],$N$3:$O$111,2,0)</f>
        <v>PREVIDENCIA PRIV</v>
      </c>
      <c r="E41" t="str">
        <f>Acrescentar1[[#This Row],[Coluna2]]</f>
        <v>DEB FUNCEF</v>
      </c>
      <c r="F41" t="str">
        <f>Acrescentar1[[#This Row],[Historico]]</f>
        <v>DEB FUNCEF</v>
      </c>
      <c r="G41" s="6">
        <f>IF(Tbl_operations[[#This Row],[Operação Bancária]]="D",Acrescentar1[[#This Row],[Valor]]/100,Acrescentar1[[#This Row],[Valor]]/100)</f>
        <v>1434.93</v>
      </c>
      <c r="H41" t="str">
        <f>Acrescentar1[[#This Row],[Deb_Cred]]</f>
        <v>D</v>
      </c>
      <c r="I41">
        <f>IF(Tbl_operations[[#This Row],[Status]]="POUPANÇA",Controller!$H$17,0)</f>
        <v>0</v>
      </c>
      <c r="J41" t="str">
        <f>IF(Tbl_operations[[#This Row],[Operação Bancária]]="C", "ENTRADA",IF(Tbl_operations[[#This Row],[Operação Bancária]]="P","POUPANÇA","SAIDA"))</f>
        <v>SAIDA</v>
      </c>
      <c r="N41" s="8" t="s">
        <v>18</v>
      </c>
      <c r="O41" t="s">
        <v>114</v>
      </c>
    </row>
    <row r="42" spans="1:15" x14ac:dyDescent="0.3">
      <c r="A42" s="1">
        <f>Acrescentar1[[#This Row],[Data_Mov]]</f>
        <v>45639</v>
      </c>
      <c r="B42" s="1" t="str">
        <f>Acrescentar1[[#This Row],[Mês]]</f>
        <v>Dezembro</v>
      </c>
      <c r="C42" s="33">
        <f>Acrescentar1[[#This Row],[Ano]]</f>
        <v>2024</v>
      </c>
      <c r="D42" t="str">
        <f>VLOOKUP(Tbl_operations[[#This Row],[Categoria]],$N$3:$O$111,2,0)</f>
        <v>PAI-DIRCE</v>
      </c>
      <c r="E42" t="str">
        <f>Acrescentar1[[#This Row],[Coluna2]]</f>
        <v>ENVIO PIX</v>
      </c>
      <c r="F42" t="str">
        <f>Acrescentar1[[#This Row],[Historico]]</f>
        <v>ENVIO PIX</v>
      </c>
      <c r="G42" s="6">
        <f>IF(Tbl_operations[[#This Row],[Operação Bancária]]="D",Acrescentar1[[#This Row],[Valor]]/100,Acrescentar1[[#This Row],[Valor]]/100)</f>
        <v>35</v>
      </c>
      <c r="H42" t="str">
        <f>Acrescentar1[[#This Row],[Deb_Cred]]</f>
        <v>D</v>
      </c>
      <c r="I42">
        <f>IF(Tbl_operations[[#This Row],[Status]]="POUPANÇA",Controller!$H$17,0)</f>
        <v>0</v>
      </c>
      <c r="J42" t="str">
        <f>IF(Tbl_operations[[#This Row],[Operação Bancária]]="C", "ENTRADA",IF(Tbl_operations[[#This Row],[Operação Bancária]]="P","POUPANÇA","SAIDA"))</f>
        <v>SAIDA</v>
      </c>
      <c r="N42" s="8" t="s">
        <v>79</v>
      </c>
      <c r="O42" t="s">
        <v>99</v>
      </c>
    </row>
    <row r="43" spans="1:15" x14ac:dyDescent="0.3">
      <c r="A43" s="1">
        <f>Acrescentar1[[#This Row],[Data_Mov]]</f>
        <v>45639</v>
      </c>
      <c r="B43" s="1" t="str">
        <f>Acrescentar1[[#This Row],[Mês]]</f>
        <v>Dezembro</v>
      </c>
      <c r="C43" s="33">
        <f>Acrescentar1[[#This Row],[Ano]]</f>
        <v>2024</v>
      </c>
      <c r="D43" t="str">
        <f>VLOOKUP(Tbl_operations[[#This Row],[Categoria]],$N$3:$O$111,2,0)</f>
        <v>DEBITO</v>
      </c>
      <c r="E43" t="str">
        <f>Acrescentar1[[#This Row],[Coluna2]]</f>
        <v>DB AP POUP</v>
      </c>
      <c r="F43" t="str">
        <f>Acrescentar1[[#This Row],[Historico]]</f>
        <v>DB AP POUP</v>
      </c>
      <c r="G43" s="6">
        <f>IF(Tbl_operations[[#This Row],[Operação Bancária]]="D",Acrescentar1[[#This Row],[Valor]]/100,Acrescentar1[[#This Row],[Valor]]/100)</f>
        <v>3700</v>
      </c>
      <c r="H43" t="str">
        <f>Acrescentar1[[#This Row],[Deb_Cred]]</f>
        <v>D</v>
      </c>
      <c r="I43">
        <f>IF(Tbl_operations[[#This Row],[Status]]="POUPANÇA",Controller!$H$17,0)</f>
        <v>0</v>
      </c>
      <c r="J43" t="str">
        <f>IF(Tbl_operations[[#This Row],[Operação Bancária]]="C", "ENTRADA",IF(Tbl_operations[[#This Row],[Operação Bancária]]="P","POUPANÇA","SAIDA"))</f>
        <v>SAIDA</v>
      </c>
      <c r="N43" s="8" t="s">
        <v>29</v>
      </c>
      <c r="O43" t="s">
        <v>115</v>
      </c>
    </row>
    <row r="44" spans="1:15" x14ac:dyDescent="0.3">
      <c r="A44" s="1">
        <f>Acrescentar1[[#This Row],[Data_Mov]]</f>
        <v>45639</v>
      </c>
      <c r="B44" s="1" t="str">
        <f>Acrescentar1[[#This Row],[Mês]]</f>
        <v>Dezembro</v>
      </c>
      <c r="C44" s="33">
        <f>Acrescentar1[[#This Row],[Ano]]</f>
        <v>2024</v>
      </c>
      <c r="D44" t="str">
        <f>VLOOKUP(Tbl_operations[[#This Row],[Categoria]],$N$3:$O$111,2,0)</f>
        <v>PAI-DIRCE</v>
      </c>
      <c r="E44" t="str">
        <f>Acrescentar1[[#This Row],[Coluna2]]</f>
        <v>ENVIO PIX</v>
      </c>
      <c r="F44" t="str">
        <f>Acrescentar1[[#This Row],[Historico]]</f>
        <v>ENVIO PIX</v>
      </c>
      <c r="G44" s="6">
        <f>IF(Tbl_operations[[#This Row],[Operação Bancária]]="D",Acrescentar1[[#This Row],[Valor]]/100,Acrescentar1[[#This Row],[Valor]]/100)</f>
        <v>25</v>
      </c>
      <c r="H44" t="str">
        <f>Acrescentar1[[#This Row],[Deb_Cred]]</f>
        <v>D</v>
      </c>
      <c r="I44">
        <f>IF(Tbl_operations[[#This Row],[Status]]="POUPANÇA",Controller!$H$17,0)</f>
        <v>0</v>
      </c>
      <c r="J44" t="str">
        <f>IF(Tbl_operations[[#This Row],[Operação Bancária]]="C", "ENTRADA",IF(Tbl_operations[[#This Row],[Operação Bancária]]="P","POUPANÇA","SAIDA"))</f>
        <v>SAIDA</v>
      </c>
      <c r="N44" s="8" t="s">
        <v>24</v>
      </c>
      <c r="O44" t="s">
        <v>115</v>
      </c>
    </row>
    <row r="45" spans="1:15" x14ac:dyDescent="0.3">
      <c r="A45" s="1">
        <f>Acrescentar1[[#This Row],[Data_Mov]]</f>
        <v>45639</v>
      </c>
      <c r="B45" s="1" t="str">
        <f>Acrescentar1[[#This Row],[Mês]]</f>
        <v>Dezembro</v>
      </c>
      <c r="C45" s="33">
        <f>Acrescentar1[[#This Row],[Ano]]</f>
        <v>2024</v>
      </c>
      <c r="D45" t="str">
        <f>VLOOKUP(Tbl_operations[[#This Row],[Categoria]],$N$3:$O$111,2,0)</f>
        <v>COMBUSTIVEL</v>
      </c>
      <c r="E45" t="str">
        <f>Acrescentar1[[#This Row],[Coluna2]]</f>
        <v>PParada</v>
      </c>
      <c r="F45" t="str">
        <f>Acrescentar1[[#This Row],[Historico]]</f>
        <v>COMPRA</v>
      </c>
      <c r="G45" s="6">
        <f>IF(Tbl_operations[[#This Row],[Operação Bancária]]="D",Acrescentar1[[#This Row],[Valor]]/100,Acrescentar1[[#This Row],[Valor]]/100)</f>
        <v>100</v>
      </c>
      <c r="H45" t="str">
        <f>Acrescentar1[[#This Row],[Deb_Cred]]</f>
        <v>D</v>
      </c>
      <c r="I45">
        <f>IF(Tbl_operations[[#This Row],[Status]]="POUPANÇA",Controller!$H$17,0)</f>
        <v>0</v>
      </c>
      <c r="J45" t="str">
        <f>IF(Tbl_operations[[#This Row],[Operação Bancária]]="C", "ENTRADA",IF(Tbl_operations[[#This Row],[Operação Bancária]]="P","POUPANÇA","SAIDA"))</f>
        <v>SAIDA</v>
      </c>
      <c r="N45" s="8" t="s">
        <v>31</v>
      </c>
      <c r="O45" t="s">
        <v>116</v>
      </c>
    </row>
    <row r="46" spans="1:15" x14ac:dyDescent="0.3">
      <c r="A46" s="1">
        <f>Acrescentar1[[#This Row],[Data_Mov]]</f>
        <v>45639</v>
      </c>
      <c r="B46" s="1" t="str">
        <f>Acrescentar1[[#This Row],[Mês]]</f>
        <v>Dezembro</v>
      </c>
      <c r="C46" s="33">
        <f>Acrescentar1[[#This Row],[Ano]]</f>
        <v>2024</v>
      </c>
      <c r="D46" t="str">
        <f>VLOOKUP(Tbl_operations[[#This Row],[Categoria]],$N$3:$O$111,2,0)</f>
        <v>SALDO</v>
      </c>
      <c r="E46" t="str">
        <f>Acrescentar1[[#This Row],[Coluna2]]</f>
        <v>SALDO DIA</v>
      </c>
      <c r="F46" t="str">
        <f>Acrescentar1[[#This Row],[Historico]]</f>
        <v>SALDO DIA</v>
      </c>
      <c r="G46" s="6">
        <f>IF(Tbl_operations[[#This Row],[Operação Bancária]]="D",Acrescentar1[[#This Row],[Valor]]/100,Acrescentar1[[#This Row],[Valor]]/100)</f>
        <v>0</v>
      </c>
      <c r="H46" t="str">
        <f>Acrescentar1[[#This Row],[Deb_Cred]]</f>
        <v>C</v>
      </c>
      <c r="I46">
        <f>IF(Tbl_operations[[#This Row],[Status]]="POUPANÇA",Controller!$H$17,0)</f>
        <v>0</v>
      </c>
      <c r="J46" t="str">
        <f>IF(Tbl_operations[[#This Row],[Operação Bancária]]="C", "ENTRADA",IF(Tbl_operations[[#This Row],[Operação Bancária]]="P","POUPANÇA","SAIDA"))</f>
        <v>ENTRADA</v>
      </c>
      <c r="N46" s="8" t="s">
        <v>28</v>
      </c>
      <c r="O46" t="s">
        <v>116</v>
      </c>
    </row>
    <row r="47" spans="1:15" x14ac:dyDescent="0.3">
      <c r="A47" s="1">
        <f>Acrescentar1[[#This Row],[Data_Mov]]</f>
        <v>45642</v>
      </c>
      <c r="B47" s="1" t="str">
        <f>Acrescentar1[[#This Row],[Mês]]</f>
        <v>Dezembro</v>
      </c>
      <c r="C47" s="33">
        <f>Acrescentar1[[#This Row],[Ano]]</f>
        <v>2024</v>
      </c>
      <c r="D47" t="str">
        <f>VLOOKUP(Tbl_operations[[#This Row],[Categoria]],$N$3:$O$111,2,0)</f>
        <v>RESTAURANTE</v>
      </c>
      <c r="E47" t="str">
        <f>Acrescentar1[[#This Row],[Coluna2]]</f>
        <v>PG *TON FAST DOG</v>
      </c>
      <c r="F47" t="str">
        <f>Acrescentar1[[#This Row],[Historico]]</f>
        <v>COMPRA</v>
      </c>
      <c r="G47" s="6">
        <f>IF(Tbl_operations[[#This Row],[Operação Bancária]]="D",Acrescentar1[[#This Row],[Valor]]/100,Acrescentar1[[#This Row],[Valor]]/100)</f>
        <v>129</v>
      </c>
      <c r="H47" t="str">
        <f>Acrescentar1[[#This Row],[Deb_Cred]]</f>
        <v>D</v>
      </c>
      <c r="I47">
        <f>IF(Tbl_operations[[#This Row],[Status]]="POUPANÇA",Controller!$H$17,0)</f>
        <v>0</v>
      </c>
      <c r="J47" t="str">
        <f>IF(Tbl_operations[[#This Row],[Operação Bancária]]="C", "ENTRADA",IF(Tbl_operations[[#This Row],[Operação Bancária]]="P","POUPANÇA","SAIDA"))</f>
        <v>SAIDA</v>
      </c>
      <c r="N47" s="8" t="s">
        <v>43</v>
      </c>
      <c r="O47" t="s">
        <v>109</v>
      </c>
    </row>
    <row r="48" spans="1:15" x14ac:dyDescent="0.3">
      <c r="A48" s="1">
        <f>Acrescentar1[[#This Row],[Data_Mov]]</f>
        <v>45642</v>
      </c>
      <c r="B48" s="1" t="str">
        <f>Acrescentar1[[#This Row],[Mês]]</f>
        <v>Dezembro</v>
      </c>
      <c r="C48" s="33">
        <f>Acrescentar1[[#This Row],[Ano]]</f>
        <v>2024</v>
      </c>
      <c r="D48" t="str">
        <f>VLOOKUP(Tbl_operations[[#This Row],[Categoria]],$N$3:$O$111,2,0)</f>
        <v>RESTAURANTE</v>
      </c>
      <c r="E48" t="str">
        <f>Acrescentar1[[#This Row],[Coluna2]]</f>
        <v>FabioDaSilva</v>
      </c>
      <c r="F48" t="str">
        <f>Acrescentar1[[#This Row],[Historico]]</f>
        <v>COMPRA</v>
      </c>
      <c r="G48" s="6">
        <f>IF(Tbl_operations[[#This Row],[Operação Bancária]]="D",Acrescentar1[[#This Row],[Valor]]/100,Acrescentar1[[#This Row],[Valor]]/100)</f>
        <v>14</v>
      </c>
      <c r="H48" t="str">
        <f>Acrescentar1[[#This Row],[Deb_Cred]]</f>
        <v>D</v>
      </c>
      <c r="I48">
        <f>IF(Tbl_operations[[#This Row],[Status]]="POUPANÇA",Controller!$H$17,0)</f>
        <v>0</v>
      </c>
      <c r="J48" t="str">
        <f>IF(Tbl_operations[[#This Row],[Operação Bancária]]="C", "ENTRADA",IF(Tbl_operations[[#This Row],[Operação Bancária]]="P","POUPANÇA","SAIDA"))</f>
        <v>SAIDA</v>
      </c>
      <c r="N48" s="8" t="s">
        <v>91</v>
      </c>
    </row>
    <row r="49" spans="1:15" x14ac:dyDescent="0.3">
      <c r="A49" s="1">
        <f>Acrescentar1[[#This Row],[Data_Mov]]</f>
        <v>45642</v>
      </c>
      <c r="B49" s="1" t="str">
        <f>Acrescentar1[[#This Row],[Mês]]</f>
        <v>Dezembro</v>
      </c>
      <c r="C49" s="33">
        <f>Acrescentar1[[#This Row],[Ano]]</f>
        <v>2024</v>
      </c>
      <c r="D49" t="str">
        <f>VLOOKUP(Tbl_operations[[#This Row],[Categoria]],$N$3:$O$111,2,0)</f>
        <v>FARMACIA</v>
      </c>
      <c r="E49" t="str">
        <f>Acrescentar1[[#This Row],[Coluna2]]</f>
        <v>FARMAVIDA JARINU</v>
      </c>
      <c r="F49" t="str">
        <f>Acrescentar1[[#This Row],[Historico]]</f>
        <v>COMPRA</v>
      </c>
      <c r="G49" s="6">
        <f>IF(Tbl_operations[[#This Row],[Operação Bancária]]="D",Acrescentar1[[#This Row],[Valor]]/100,Acrescentar1[[#This Row],[Valor]]/100)</f>
        <v>9.99</v>
      </c>
      <c r="H49" t="str">
        <f>Acrescentar1[[#This Row],[Deb_Cred]]</f>
        <v>D</v>
      </c>
      <c r="I49">
        <f>IF(Tbl_operations[[#This Row],[Status]]="POUPANÇA",Controller!$H$17,0)</f>
        <v>0</v>
      </c>
      <c r="J49" t="str">
        <f>IF(Tbl_operations[[#This Row],[Operação Bancária]]="C", "ENTRADA",IF(Tbl_operations[[#This Row],[Operação Bancária]]="P","POUPANÇA","SAIDA"))</f>
        <v>SAIDA</v>
      </c>
      <c r="N49" s="8" t="s">
        <v>125</v>
      </c>
      <c r="O49" t="s">
        <v>98</v>
      </c>
    </row>
    <row r="50" spans="1:15" x14ac:dyDescent="0.3">
      <c r="A50" s="1">
        <f>Acrescentar1[[#This Row],[Data_Mov]]</f>
        <v>45642</v>
      </c>
      <c r="B50" s="1" t="str">
        <f>Acrescentar1[[#This Row],[Mês]]</f>
        <v>Dezembro</v>
      </c>
      <c r="C50" s="33">
        <f>Acrescentar1[[#This Row],[Ano]]</f>
        <v>2024</v>
      </c>
      <c r="D50" t="str">
        <f>VLOOKUP(Tbl_operations[[#This Row],[Categoria]],$N$3:$O$111,2,0)</f>
        <v>RESTAURANTE</v>
      </c>
      <c r="E50" t="str">
        <f>Acrescentar1[[#This Row],[Coluna2]]</f>
        <v>GOOD MILK SHAKE</v>
      </c>
      <c r="F50" t="str">
        <f>Acrescentar1[[#This Row],[Historico]]</f>
        <v>COMPRA</v>
      </c>
      <c r="G50" s="6">
        <f>IF(Tbl_operations[[#This Row],[Operação Bancária]]="D",Acrescentar1[[#This Row],[Valor]]/100,Acrescentar1[[#This Row],[Valor]]/100)</f>
        <v>36</v>
      </c>
      <c r="H50" t="str">
        <f>Acrescentar1[[#This Row],[Deb_Cred]]</f>
        <v>D</v>
      </c>
      <c r="I50">
        <f>IF(Tbl_operations[[#This Row],[Status]]="POUPANÇA",Controller!$H$17,0)</f>
        <v>0</v>
      </c>
      <c r="J50" t="str">
        <f>IF(Tbl_operations[[#This Row],[Operação Bancária]]="C", "ENTRADA",IF(Tbl_operations[[#This Row],[Operação Bancária]]="P","POUPANÇA","SAIDA"))</f>
        <v>SAIDA</v>
      </c>
      <c r="N50" s="8" t="s">
        <v>134</v>
      </c>
      <c r="O50" t="s">
        <v>99</v>
      </c>
    </row>
    <row r="51" spans="1:15" x14ac:dyDescent="0.3">
      <c r="A51" s="1">
        <f>Acrescentar1[[#This Row],[Data_Mov]]</f>
        <v>45642</v>
      </c>
      <c r="B51" s="1" t="str">
        <f>Acrescentar1[[#This Row],[Mês]]</f>
        <v>Dezembro</v>
      </c>
      <c r="C51" s="33">
        <f>Acrescentar1[[#This Row],[Ano]]</f>
        <v>2024</v>
      </c>
      <c r="D51" t="str">
        <f>VLOOKUP(Tbl_operations[[#This Row],[Categoria]],$N$3:$O$111,2,0)</f>
        <v>PAI-DIRCE</v>
      </c>
      <c r="E51" t="str">
        <f>Acrescentar1[[#This Row],[Coluna2]]</f>
        <v>ENVIO PIX</v>
      </c>
      <c r="F51" t="str">
        <f>Acrescentar1[[#This Row],[Historico]]</f>
        <v>ENVIO PIX</v>
      </c>
      <c r="G51" s="6">
        <f>IF(Tbl_operations[[#This Row],[Operação Bancária]]="D",Acrescentar1[[#This Row],[Valor]]/100,Acrescentar1[[#This Row],[Valor]]/100)</f>
        <v>117</v>
      </c>
      <c r="H51" t="str">
        <f>Acrescentar1[[#This Row],[Deb_Cred]]</f>
        <v>D</v>
      </c>
      <c r="I51">
        <f>IF(Tbl_operations[[#This Row],[Status]]="POUPANÇA",Controller!$H$17,0)</f>
        <v>0</v>
      </c>
      <c r="J51" t="str">
        <f>IF(Tbl_operations[[#This Row],[Operação Bancária]]="C", "ENTRADA",IF(Tbl_operations[[#This Row],[Operação Bancária]]="P","POUPANÇA","SAIDA"))</f>
        <v>SAIDA</v>
      </c>
      <c r="N51" s="8" t="s">
        <v>137</v>
      </c>
      <c r="O51" t="s">
        <v>109</v>
      </c>
    </row>
    <row r="52" spans="1:15" x14ac:dyDescent="0.3">
      <c r="A52" s="1">
        <f>Acrescentar1[[#This Row],[Data_Mov]]</f>
        <v>45642</v>
      </c>
      <c r="B52" s="1" t="str">
        <f>Acrescentar1[[#This Row],[Mês]]</f>
        <v>Dezembro</v>
      </c>
      <c r="C52" s="33">
        <f>Acrescentar1[[#This Row],[Ano]]</f>
        <v>2024</v>
      </c>
      <c r="D52" t="str">
        <f>VLOOKUP(Tbl_operations[[#This Row],[Categoria]],$N$3:$O$111,2,0)</f>
        <v>PART JLF</v>
      </c>
      <c r="E52" t="str">
        <f>Acrescentar1[[#This Row],[Coluna2]]</f>
        <v>CRED PIX</v>
      </c>
      <c r="F52" t="str">
        <f>Acrescentar1[[#This Row],[Historico]]</f>
        <v>CRED PIX</v>
      </c>
      <c r="G52" s="6">
        <f>IF(Tbl_operations[[#This Row],[Operação Bancária]]="D",Acrescentar1[[#This Row],[Valor]]/100,Acrescentar1[[#This Row],[Valor]]/100)</f>
        <v>1</v>
      </c>
      <c r="H52" t="str">
        <f>Acrescentar1[[#This Row],[Deb_Cred]]</f>
        <v>C</v>
      </c>
      <c r="I52">
        <f>IF(Tbl_operations[[#This Row],[Status]]="POUPANÇA",Controller!$H$17,0)</f>
        <v>0</v>
      </c>
      <c r="J52" t="str">
        <f>IF(Tbl_operations[[#This Row],[Operação Bancária]]="C", "ENTRADA",IF(Tbl_operations[[#This Row],[Operação Bancária]]="P","POUPANÇA","SAIDA"))</f>
        <v>ENTRADA</v>
      </c>
      <c r="N52" s="8" t="s">
        <v>144</v>
      </c>
      <c r="O52" t="s">
        <v>109</v>
      </c>
    </row>
    <row r="53" spans="1:15" x14ac:dyDescent="0.3">
      <c r="A53" s="1">
        <f>Acrescentar1[[#This Row],[Data_Mov]]</f>
        <v>45642</v>
      </c>
      <c r="B53" s="1" t="str">
        <f>Acrescentar1[[#This Row],[Mês]]</f>
        <v>Dezembro</v>
      </c>
      <c r="C53" s="33">
        <f>Acrescentar1[[#This Row],[Ano]]</f>
        <v>2024</v>
      </c>
      <c r="D53" t="str">
        <f>VLOOKUP(Tbl_operations[[#This Row],[Categoria]],$N$3:$O$111,2,0)</f>
        <v>SALDO</v>
      </c>
      <c r="E53" t="str">
        <f>Acrescentar1[[#This Row],[Coluna2]]</f>
        <v>SALDO DIA</v>
      </c>
      <c r="F53" t="str">
        <f>Acrescentar1[[#This Row],[Historico]]</f>
        <v>SALDO DIA</v>
      </c>
      <c r="G53" s="6">
        <f>IF(Tbl_operations[[#This Row],[Operação Bancária]]="D",Acrescentar1[[#This Row],[Valor]]/100,Acrescentar1[[#This Row],[Valor]]/100)</f>
        <v>0</v>
      </c>
      <c r="H53" t="str">
        <f>Acrescentar1[[#This Row],[Deb_Cred]]</f>
        <v>D</v>
      </c>
      <c r="I53">
        <f>IF(Tbl_operations[[#This Row],[Status]]="POUPANÇA",Controller!$H$17,0)</f>
        <v>0</v>
      </c>
      <c r="J53" t="str">
        <f>IF(Tbl_operations[[#This Row],[Operação Bancária]]="C", "ENTRADA",IF(Tbl_operations[[#This Row],[Operação Bancária]]="P","POUPANÇA","SAIDA"))</f>
        <v>SAIDA</v>
      </c>
      <c r="N53" s="8" t="s">
        <v>119</v>
      </c>
      <c r="O53" t="s">
        <v>158</v>
      </c>
    </row>
    <row r="54" spans="1:15" x14ac:dyDescent="0.3">
      <c r="A54" s="1">
        <f>Acrescentar1[[#This Row],[Data_Mov]]</f>
        <v>45643</v>
      </c>
      <c r="B54" s="1" t="str">
        <f>Acrescentar1[[#This Row],[Mês]]</f>
        <v>Dezembro</v>
      </c>
      <c r="C54" s="33">
        <f>Acrescentar1[[#This Row],[Ano]]</f>
        <v>2024</v>
      </c>
      <c r="D54" t="str">
        <f>VLOOKUP(Tbl_operations[[#This Row],[Categoria]],$N$3:$O$111,2,0)</f>
        <v>UTENSÍLIOS DOMESTICO</v>
      </c>
      <c r="E54" t="str">
        <f>Acrescentar1[[#This Row],[Coluna2]]</f>
        <v>MARAVILHAS DO LAR MAXIS</v>
      </c>
      <c r="F54" t="str">
        <f>Acrescentar1[[#This Row],[Historico]]</f>
        <v>COMPRA</v>
      </c>
      <c r="G54" s="6">
        <f>IF(Tbl_operations[[#This Row],[Operação Bancária]]="D",Acrescentar1[[#This Row],[Valor]]/100,Acrescentar1[[#This Row],[Valor]]/100)</f>
        <v>39.979999999999997</v>
      </c>
      <c r="H54" t="str">
        <f>Acrescentar1[[#This Row],[Deb_Cred]]</f>
        <v>D</v>
      </c>
      <c r="I54">
        <f>IF(Tbl_operations[[#This Row],[Status]]="POUPANÇA",Controller!$H$17,0)</f>
        <v>0</v>
      </c>
      <c r="J54" t="str">
        <f>IF(Tbl_operations[[#This Row],[Operação Bancária]]="C", "ENTRADA",IF(Tbl_operations[[#This Row],[Operação Bancária]]="P","POUPANÇA","SAIDA"))</f>
        <v>SAIDA</v>
      </c>
      <c r="N54" s="8" t="s">
        <v>120</v>
      </c>
      <c r="O54" t="s">
        <v>159</v>
      </c>
    </row>
    <row r="55" spans="1:15" x14ac:dyDescent="0.3">
      <c r="A55" s="1">
        <f>Acrescentar1[[#This Row],[Data_Mov]]</f>
        <v>45643</v>
      </c>
      <c r="B55" s="1" t="str">
        <f>Acrescentar1[[#This Row],[Mês]]</f>
        <v>Dezembro</v>
      </c>
      <c r="C55" s="33">
        <f>Acrescentar1[[#This Row],[Ano]]</f>
        <v>2024</v>
      </c>
      <c r="D55" t="str">
        <f>VLOOKUP(Tbl_operations[[#This Row],[Categoria]],$N$3:$O$111,2,0)</f>
        <v>PEDAGIO/ESTAC</v>
      </c>
      <c r="E55" t="str">
        <f>Acrescentar1[[#This Row],[Coluna2]]</f>
        <v>GEMAXI ADMINISTRA</v>
      </c>
      <c r="F55" t="str">
        <f>Acrescentar1[[#This Row],[Historico]]</f>
        <v>COMPRA</v>
      </c>
      <c r="G55" s="6">
        <f>IF(Tbl_operations[[#This Row],[Operação Bancária]]="D",Acrescentar1[[#This Row],[Valor]]/100,Acrescentar1[[#This Row],[Valor]]/100)</f>
        <v>14</v>
      </c>
      <c r="H55" t="str">
        <f>Acrescentar1[[#This Row],[Deb_Cred]]</f>
        <v>D</v>
      </c>
      <c r="I55">
        <f>IF(Tbl_operations[[#This Row],[Status]]="POUPANÇA",Controller!$H$17,0)</f>
        <v>0</v>
      </c>
      <c r="J55" t="str">
        <f>IF(Tbl_operations[[#This Row],[Operação Bancária]]="C", "ENTRADA",IF(Tbl_operations[[#This Row],[Operação Bancária]]="P","POUPANÇA","SAIDA"))</f>
        <v>SAIDA</v>
      </c>
      <c r="N55" s="8" t="s">
        <v>121</v>
      </c>
      <c r="O55" t="s">
        <v>115</v>
      </c>
    </row>
    <row r="56" spans="1:15" x14ac:dyDescent="0.3">
      <c r="A56" s="1">
        <f>Acrescentar1[[#This Row],[Data_Mov]]</f>
        <v>45643</v>
      </c>
      <c r="B56" s="1" t="str">
        <f>Acrescentar1[[#This Row],[Mês]]</f>
        <v>Dezembro</v>
      </c>
      <c r="C56" s="33">
        <f>Acrescentar1[[#This Row],[Ano]]</f>
        <v>2024</v>
      </c>
      <c r="D56" t="str">
        <f>VLOOKUP(Tbl_operations[[#This Row],[Categoria]],$N$3:$O$111,2,0)</f>
        <v>RESTAURANTE</v>
      </c>
      <c r="E56" t="str">
        <f>Acrescentar1[[#This Row],[Coluna2]]</f>
        <v>GALPAO GAUCHO</v>
      </c>
      <c r="F56" t="str">
        <f>Acrescentar1[[#This Row],[Historico]]</f>
        <v>COMPRA</v>
      </c>
      <c r="G56" s="6">
        <f>IF(Tbl_operations[[#This Row],[Operação Bancária]]="D",Acrescentar1[[#This Row],[Valor]]/100,Acrescentar1[[#This Row],[Valor]]/100)</f>
        <v>64</v>
      </c>
      <c r="H56" t="str">
        <f>Acrescentar1[[#This Row],[Deb_Cred]]</f>
        <v>D</v>
      </c>
      <c r="I56">
        <f>IF(Tbl_operations[[#This Row],[Status]]="POUPANÇA",Controller!$H$17,0)</f>
        <v>0</v>
      </c>
      <c r="J56" t="str">
        <f>IF(Tbl_operations[[#This Row],[Operação Bancária]]="C", "ENTRADA",IF(Tbl_operations[[#This Row],[Operação Bancária]]="P","POUPANÇA","SAIDA"))</f>
        <v>SAIDA</v>
      </c>
      <c r="N56" s="8" t="s">
        <v>149</v>
      </c>
      <c r="O56" t="s">
        <v>99</v>
      </c>
    </row>
    <row r="57" spans="1:15" x14ac:dyDescent="0.3">
      <c r="A57" s="1">
        <f>Acrescentar1[[#This Row],[Data_Mov]]</f>
        <v>45643</v>
      </c>
      <c r="B57" s="1" t="str">
        <f>Acrescentar1[[#This Row],[Mês]]</f>
        <v>Dezembro</v>
      </c>
      <c r="C57" s="33">
        <f>Acrescentar1[[#This Row],[Ano]]</f>
        <v>2024</v>
      </c>
      <c r="D57" t="str">
        <f>VLOOKUP(Tbl_operations[[#This Row],[Categoria]],$N$3:$O$111,2,0)</f>
        <v>INVESTIMENTO</v>
      </c>
      <c r="E57" t="str">
        <f>Acrescentar1[[#This Row],[Coluna2]]</f>
        <v>APP</v>
      </c>
      <c r="F57" t="str">
        <f>Acrescentar1[[#This Row],[Historico]]</f>
        <v>APP</v>
      </c>
      <c r="G57" s="6">
        <f>IF(Tbl_operations[[#This Row],[Operação Bancária]]="D",Acrescentar1[[#This Row],[Valor]]/100,Acrescentar1[[#This Row],[Valor]]/100)</f>
        <v>5</v>
      </c>
      <c r="H57" t="str">
        <f>Acrescentar1[[#This Row],[Deb_Cred]]</f>
        <v>D</v>
      </c>
      <c r="I57">
        <f>IF(Tbl_operations[[#This Row],[Status]]="POUPANÇA",Controller!$H$17,0)</f>
        <v>0</v>
      </c>
      <c r="J57" t="str">
        <f>IF(Tbl_operations[[#This Row],[Operação Bancária]]="C", "ENTRADA",IF(Tbl_operations[[#This Row],[Operação Bancária]]="P","POUPANÇA","SAIDA"))</f>
        <v>SAIDA</v>
      </c>
      <c r="N57" s="8" t="s">
        <v>131</v>
      </c>
      <c r="O57" t="s">
        <v>118</v>
      </c>
    </row>
    <row r="58" spans="1:15" x14ac:dyDescent="0.3">
      <c r="A58" s="1">
        <f>Acrescentar1[[#This Row],[Data_Mov]]</f>
        <v>45643</v>
      </c>
      <c r="B58" s="1" t="str">
        <f>Acrescentar1[[#This Row],[Mês]]</f>
        <v>Dezembro</v>
      </c>
      <c r="C58" s="33">
        <f>Acrescentar1[[#This Row],[Ano]]</f>
        <v>2024</v>
      </c>
      <c r="D58" t="str">
        <f>VLOOKUP(Tbl_operations[[#This Row],[Categoria]],$N$3:$O$111,2,0)</f>
        <v>PAI-DIRCE</v>
      </c>
      <c r="E58" t="str">
        <f>Acrescentar1[[#This Row],[Coluna2]]</f>
        <v>DEB WHATS</v>
      </c>
      <c r="F58" t="str">
        <f>Acrescentar1[[#This Row],[Historico]]</f>
        <v>DEB WHATS</v>
      </c>
      <c r="G58" s="6">
        <f>IF(Tbl_operations[[#This Row],[Operação Bancária]]="D",Acrescentar1[[#This Row],[Valor]]/100,Acrescentar1[[#This Row],[Valor]]/100)</f>
        <v>100</v>
      </c>
      <c r="H58" t="str">
        <f>Acrescentar1[[#This Row],[Deb_Cred]]</f>
        <v>D</v>
      </c>
      <c r="I58">
        <f>IF(Tbl_operations[[#This Row],[Status]]="POUPANÇA",Controller!$H$17,0)</f>
        <v>0</v>
      </c>
      <c r="J58" t="str">
        <f>IF(Tbl_operations[[#This Row],[Operação Bancária]]="C", "ENTRADA",IF(Tbl_operations[[#This Row],[Operação Bancária]]="P","POUPANÇA","SAIDA"))</f>
        <v>SAIDA</v>
      </c>
      <c r="N58" s="8" t="s">
        <v>155</v>
      </c>
      <c r="O58" t="s">
        <v>110</v>
      </c>
    </row>
    <row r="59" spans="1:15" x14ac:dyDescent="0.3">
      <c r="A59" s="1">
        <f>Acrescentar1[[#This Row],[Data_Mov]]</f>
        <v>45643</v>
      </c>
      <c r="B59" s="1" t="str">
        <f>Acrescentar1[[#This Row],[Mês]]</f>
        <v>Dezembro</v>
      </c>
      <c r="C59" s="33">
        <f>Acrescentar1[[#This Row],[Ano]]</f>
        <v>2024</v>
      </c>
      <c r="D59" t="str">
        <f>VLOOKUP(Tbl_operations[[#This Row],[Categoria]],$N$3:$O$111,2,0)</f>
        <v>SALDO</v>
      </c>
      <c r="E59" t="str">
        <f>Acrescentar1[[#This Row],[Coluna2]]</f>
        <v>SALDO DIA</v>
      </c>
      <c r="F59" t="str">
        <f>Acrescentar1[[#This Row],[Historico]]</f>
        <v>SALDO DIA</v>
      </c>
      <c r="G59" s="6">
        <f>IF(Tbl_operations[[#This Row],[Operação Bancária]]="D",Acrescentar1[[#This Row],[Valor]]/100,Acrescentar1[[#This Row],[Valor]]/100)</f>
        <v>0</v>
      </c>
      <c r="H59" t="str">
        <f>Acrescentar1[[#This Row],[Deb_Cred]]</f>
        <v>D</v>
      </c>
      <c r="I59">
        <f>IF(Tbl_operations[[#This Row],[Status]]="POUPANÇA",Controller!$H$17,0)</f>
        <v>0</v>
      </c>
      <c r="J59" t="str">
        <f>IF(Tbl_operations[[#This Row],[Operação Bancária]]="C", "ENTRADA",IF(Tbl_operations[[#This Row],[Operação Bancária]]="P","POUPANÇA","SAIDA"))</f>
        <v>SAIDA</v>
      </c>
      <c r="N59" s="8" t="s">
        <v>122</v>
      </c>
      <c r="O59" t="s">
        <v>113</v>
      </c>
    </row>
    <row r="60" spans="1:15" x14ac:dyDescent="0.3">
      <c r="A60" s="1">
        <f>Acrescentar1[[#This Row],[Data_Mov]]</f>
        <v>45644</v>
      </c>
      <c r="B60" s="1" t="str">
        <f>Acrescentar1[[#This Row],[Mês]]</f>
        <v>Dezembro</v>
      </c>
      <c r="C60" s="33">
        <f>Acrescentar1[[#This Row],[Ano]]</f>
        <v>2024</v>
      </c>
      <c r="D60" t="str">
        <f>VLOOKUP(Tbl_operations[[#This Row],[Categoria]],$N$3:$O$111,2,0)</f>
        <v>SALDO</v>
      </c>
      <c r="E60" t="str">
        <f>Acrescentar1[[#This Row],[Coluna2]]</f>
        <v>SALDO DIA</v>
      </c>
      <c r="F60" t="str">
        <f>Acrescentar1[[#This Row],[Historico]]</f>
        <v>SALDO DIA</v>
      </c>
      <c r="G60" s="6">
        <f>IF(Tbl_operations[[#This Row],[Operação Bancária]]="D",Acrescentar1[[#This Row],[Valor]]/100,Acrescentar1[[#This Row],[Valor]]/100)</f>
        <v>0</v>
      </c>
      <c r="H60" t="str">
        <f>Acrescentar1[[#This Row],[Deb_Cred]]</f>
        <v>D</v>
      </c>
      <c r="I60">
        <f>IF(Tbl_operations[[#This Row],[Status]]="POUPANÇA",Controller!$H$17,0)</f>
        <v>0</v>
      </c>
      <c r="J60" t="str">
        <f>IF(Tbl_operations[[#This Row],[Operação Bancária]]="C", "ENTRADA",IF(Tbl_operations[[#This Row],[Operação Bancária]]="P","POUPANÇA","SAIDA"))</f>
        <v>SAIDA</v>
      </c>
      <c r="N60" s="8" t="s">
        <v>188</v>
      </c>
      <c r="O60" t="s">
        <v>191</v>
      </c>
    </row>
    <row r="61" spans="1:15" x14ac:dyDescent="0.3">
      <c r="A61" s="1">
        <f>Acrescentar1[[#This Row],[Data_Mov]]</f>
        <v>45645</v>
      </c>
      <c r="B61" s="1" t="str">
        <f>Acrescentar1[[#This Row],[Mês]]</f>
        <v>Dezembro</v>
      </c>
      <c r="C61" s="33">
        <f>Acrescentar1[[#This Row],[Ano]]</f>
        <v>2024</v>
      </c>
      <c r="D61" t="str">
        <f>VLOOKUP(Tbl_operations[[#This Row],[Categoria]],$N$3:$O$111,2,0)</f>
        <v>ENTRETENIMENTO</v>
      </c>
      <c r="E61" t="str">
        <f>Acrescentar1[[#This Row],[Coluna2]]</f>
        <v>MOVIECOM MAXI JUNDIAI</v>
      </c>
      <c r="F61" t="str">
        <f>Acrescentar1[[#This Row],[Historico]]</f>
        <v>COMPRA</v>
      </c>
      <c r="G61" s="6">
        <f>IF(Tbl_operations[[#This Row],[Operação Bancária]]="D",Acrescentar1[[#This Row],[Valor]]/100,Acrescentar1[[#This Row],[Valor]]/100)</f>
        <v>105</v>
      </c>
      <c r="H61" t="str">
        <f>Acrescentar1[[#This Row],[Deb_Cred]]</f>
        <v>D</v>
      </c>
      <c r="I61">
        <f>IF(Tbl_operations[[#This Row],[Status]]="POUPANÇA",Controller!$H$17,0)</f>
        <v>0</v>
      </c>
      <c r="J61" t="str">
        <f>IF(Tbl_operations[[#This Row],[Operação Bancária]]="C", "ENTRADA",IF(Tbl_operations[[#This Row],[Operação Bancária]]="P","POUPANÇA","SAIDA"))</f>
        <v>SAIDA</v>
      </c>
      <c r="N61" s="8" t="s">
        <v>92</v>
      </c>
    </row>
    <row r="62" spans="1:15" x14ac:dyDescent="0.3">
      <c r="A62" s="1">
        <f>Acrescentar1[[#This Row],[Data_Mov]]</f>
        <v>45645</v>
      </c>
      <c r="B62" s="1" t="str">
        <f>Acrescentar1[[#This Row],[Mês]]</f>
        <v>Dezembro</v>
      </c>
      <c r="C62" s="33">
        <f>Acrescentar1[[#This Row],[Ano]]</f>
        <v>2024</v>
      </c>
      <c r="D62" t="str">
        <f>VLOOKUP(Tbl_operations[[#This Row],[Categoria]],$N$3:$O$111,2,0)</f>
        <v>ENTRETENIMENTO</v>
      </c>
      <c r="E62" t="str">
        <f>Acrescentar1[[#This Row],[Coluna2]]</f>
        <v>MOVIECOM MAXI JUNDIAI</v>
      </c>
      <c r="F62" t="str">
        <f>Acrescentar1[[#This Row],[Historico]]</f>
        <v>COMPRA</v>
      </c>
      <c r="G62" s="6">
        <f>IF(Tbl_operations[[#This Row],[Operação Bancária]]="D",Acrescentar1[[#This Row],[Valor]]/100,Acrescentar1[[#This Row],[Valor]]/100)</f>
        <v>15.5</v>
      </c>
      <c r="H62" t="str">
        <f>Acrescentar1[[#This Row],[Deb_Cred]]</f>
        <v>D</v>
      </c>
      <c r="I62">
        <f>IF(Tbl_operations[[#This Row],[Status]]="POUPANÇA",Controller!$H$17,0)</f>
        <v>0</v>
      </c>
      <c r="J62" t="str">
        <f>IF(Tbl_operations[[#This Row],[Operação Bancária]]="C", "ENTRADA",IF(Tbl_operations[[#This Row],[Operação Bancária]]="P","POUPANÇA","SAIDA"))</f>
        <v>SAIDA</v>
      </c>
    </row>
    <row r="63" spans="1:15" x14ac:dyDescent="0.3">
      <c r="A63" s="1">
        <f>Acrescentar1[[#This Row],[Data_Mov]]</f>
        <v>45645</v>
      </c>
      <c r="B63" s="1" t="str">
        <f>Acrescentar1[[#This Row],[Mês]]</f>
        <v>Dezembro</v>
      </c>
      <c r="C63" s="33">
        <f>Acrescentar1[[#This Row],[Ano]]</f>
        <v>2024</v>
      </c>
      <c r="D63" t="str">
        <f>VLOOKUP(Tbl_operations[[#This Row],[Categoria]],$N$3:$O$111,2,0)</f>
        <v>RESTAURANTE</v>
      </c>
      <c r="E63" t="str">
        <f>Acrescentar1[[#This Row],[Coluna2]]</f>
        <v>BURGER KING</v>
      </c>
      <c r="F63" t="str">
        <f>Acrescentar1[[#This Row],[Historico]]</f>
        <v>COMPRA</v>
      </c>
      <c r="G63" s="6">
        <f>IF(Tbl_operations[[#This Row],[Operação Bancária]]="D",Acrescentar1[[#This Row],[Valor]]/100,Acrescentar1[[#This Row],[Valor]]/100)</f>
        <v>87.7</v>
      </c>
      <c r="H63" t="str">
        <f>Acrescentar1[[#This Row],[Deb_Cred]]</f>
        <v>D</v>
      </c>
      <c r="I63">
        <f>IF(Tbl_operations[[#This Row],[Status]]="POUPANÇA",Controller!$H$17,0)</f>
        <v>0</v>
      </c>
      <c r="J63" t="str">
        <f>IF(Tbl_operations[[#This Row],[Operação Bancária]]="C", "ENTRADA",IF(Tbl_operations[[#This Row],[Operação Bancária]]="P","POUPANÇA","SAIDA"))</f>
        <v>SAIDA</v>
      </c>
    </row>
    <row r="64" spans="1:15" x14ac:dyDescent="0.3">
      <c r="A64" s="1">
        <f>Acrescentar1[[#This Row],[Data_Mov]]</f>
        <v>45645</v>
      </c>
      <c r="B64" s="1" t="str">
        <f>Acrescentar1[[#This Row],[Mês]]</f>
        <v>Dezembro</v>
      </c>
      <c r="C64" s="33">
        <f>Acrescentar1[[#This Row],[Ano]]</f>
        <v>2024</v>
      </c>
      <c r="D64" t="str">
        <f>VLOOKUP(Tbl_operations[[#This Row],[Categoria]],$N$3:$O$111,2,0)</f>
        <v>SAQUE</v>
      </c>
      <c r="E64" t="str">
        <f>Acrescentar1[[#This Row],[Coluna2]]</f>
        <v>SAQUE LOT</v>
      </c>
      <c r="F64" t="str">
        <f>Acrescentar1[[#This Row],[Historico]]</f>
        <v>SAQUE LOT</v>
      </c>
      <c r="G64" s="6">
        <f>IF(Tbl_operations[[#This Row],[Operação Bancária]]="D",Acrescentar1[[#This Row],[Valor]]/100,Acrescentar1[[#This Row],[Valor]]/100)</f>
        <v>20</v>
      </c>
      <c r="H64" t="str">
        <f>Acrescentar1[[#This Row],[Deb_Cred]]</f>
        <v>D</v>
      </c>
      <c r="I64">
        <f>IF(Tbl_operations[[#This Row],[Status]]="POUPANÇA",Controller!$H$17,0)</f>
        <v>0</v>
      </c>
      <c r="J64" t="str">
        <f>IF(Tbl_operations[[#This Row],[Operação Bancária]]="C", "ENTRADA",IF(Tbl_operations[[#This Row],[Operação Bancária]]="P","POUPANÇA","SAIDA"))</f>
        <v>SAIDA</v>
      </c>
    </row>
    <row r="65" spans="1:10" x14ac:dyDescent="0.3">
      <c r="A65" s="1">
        <f>Acrescentar1[[#This Row],[Data_Mov]]</f>
        <v>45645</v>
      </c>
      <c r="B65" s="1" t="str">
        <f>Acrescentar1[[#This Row],[Mês]]</f>
        <v>Dezembro</v>
      </c>
      <c r="C65" s="33">
        <f>Acrescentar1[[#This Row],[Ano]]</f>
        <v>2024</v>
      </c>
      <c r="D65" t="str">
        <f>VLOOKUP(Tbl_operations[[#This Row],[Categoria]],$N$3:$O$111,2,0)</f>
        <v>FARMACIA</v>
      </c>
      <c r="E65" t="str">
        <f>Acrescentar1[[#This Row],[Coluna2]]</f>
        <v>DROGASIL2881</v>
      </c>
      <c r="F65" t="str">
        <f>Acrescentar1[[#This Row],[Historico]]</f>
        <v>COMPRA</v>
      </c>
      <c r="G65" s="6">
        <f>IF(Tbl_operations[[#This Row],[Operação Bancária]]="D",Acrescentar1[[#This Row],[Valor]]/100,Acrescentar1[[#This Row],[Valor]]/100)</f>
        <v>195.55</v>
      </c>
      <c r="H65" t="str">
        <f>Acrescentar1[[#This Row],[Deb_Cred]]</f>
        <v>D</v>
      </c>
      <c r="I65">
        <f>IF(Tbl_operations[[#This Row],[Status]]="POUPANÇA",Controller!$H$17,0)</f>
        <v>0</v>
      </c>
      <c r="J65" t="str">
        <f>IF(Tbl_operations[[#This Row],[Operação Bancária]]="C", "ENTRADA",IF(Tbl_operations[[#This Row],[Operação Bancária]]="P","POUPANÇA","SAIDA"))</f>
        <v>SAIDA</v>
      </c>
    </row>
    <row r="66" spans="1:10" x14ac:dyDescent="0.3">
      <c r="A66" s="1">
        <f>Acrescentar1[[#This Row],[Data_Mov]]</f>
        <v>45645</v>
      </c>
      <c r="B66" s="1" t="str">
        <f>Acrescentar1[[#This Row],[Mês]]</f>
        <v>Dezembro</v>
      </c>
      <c r="C66" s="33">
        <f>Acrescentar1[[#This Row],[Ano]]</f>
        <v>2024</v>
      </c>
      <c r="D66" t="str">
        <f>VLOOKUP(Tbl_operations[[#This Row],[Categoria]],$N$3:$O$111,2,0)</f>
        <v>PEDAGIO/ESTAC</v>
      </c>
      <c r="E66" t="str">
        <f>Acrescentar1[[#This Row],[Coluna2]]</f>
        <v>GEMAXI ADMINISTRA</v>
      </c>
      <c r="F66" t="str">
        <f>Acrescentar1[[#This Row],[Historico]]</f>
        <v>COMPRA</v>
      </c>
      <c r="G66" s="6">
        <f>IF(Tbl_operations[[#This Row],[Operação Bancária]]="D",Acrescentar1[[#This Row],[Valor]]/100,Acrescentar1[[#This Row],[Valor]]/100)</f>
        <v>14</v>
      </c>
      <c r="H66" t="str">
        <f>Acrescentar1[[#This Row],[Deb_Cred]]</f>
        <v>D</v>
      </c>
      <c r="I66">
        <f>IF(Tbl_operations[[#This Row],[Status]]="POUPANÇA",Controller!$H$17,0)</f>
        <v>0</v>
      </c>
      <c r="J66" t="str">
        <f>IF(Tbl_operations[[#This Row],[Operação Bancária]]="C", "ENTRADA",IF(Tbl_operations[[#This Row],[Operação Bancária]]="P","POUPANÇA","SAIDA"))</f>
        <v>SAIDA</v>
      </c>
    </row>
    <row r="67" spans="1:10" x14ac:dyDescent="0.3">
      <c r="A67" s="1">
        <f>Acrescentar1[[#This Row],[Data_Mov]]</f>
        <v>45645</v>
      </c>
      <c r="B67" s="1" t="str">
        <f>Acrescentar1[[#This Row],[Mês]]</f>
        <v>Dezembro</v>
      </c>
      <c r="C67" s="33">
        <f>Acrescentar1[[#This Row],[Ano]]</f>
        <v>2024</v>
      </c>
      <c r="D67" t="str">
        <f>VLOOKUP(Tbl_operations[[#This Row],[Categoria]],$N$3:$O$111,2,0)</f>
        <v>SALARIO</v>
      </c>
      <c r="E67" t="str">
        <f>Acrescentar1[[#This Row],[Coluna2]]</f>
        <v>CR RG POUP</v>
      </c>
      <c r="F67" t="str">
        <f>Acrescentar1[[#This Row],[Historico]]</f>
        <v>CR RG POUP</v>
      </c>
      <c r="G67" s="6">
        <f>IF(Tbl_operations[[#This Row],[Operação Bancária]]="D",Acrescentar1[[#This Row],[Valor]]/100,Acrescentar1[[#This Row],[Valor]]/100)</f>
        <v>200</v>
      </c>
      <c r="H67" t="str">
        <f>Acrescentar1[[#This Row],[Deb_Cred]]</f>
        <v>C</v>
      </c>
      <c r="I67">
        <f>IF(Tbl_operations[[#This Row],[Status]]="POUPANÇA",Controller!$H$17,0)</f>
        <v>0</v>
      </c>
      <c r="J67" t="str">
        <f>IF(Tbl_operations[[#This Row],[Operação Bancária]]="C", "ENTRADA",IF(Tbl_operations[[#This Row],[Operação Bancária]]="P","POUPANÇA","SAIDA"))</f>
        <v>ENTRADA</v>
      </c>
    </row>
    <row r="68" spans="1:10" x14ac:dyDescent="0.3">
      <c r="A68" s="1">
        <f>Acrescentar1[[#This Row],[Data_Mov]]</f>
        <v>45645</v>
      </c>
      <c r="B68" s="1" t="str">
        <f>Acrescentar1[[#This Row],[Mês]]</f>
        <v>Dezembro</v>
      </c>
      <c r="C68" s="33">
        <f>Acrescentar1[[#This Row],[Ano]]</f>
        <v>2024</v>
      </c>
      <c r="D68" t="str">
        <f>VLOOKUP(Tbl_operations[[#This Row],[Categoria]],$N$3:$O$111,2,0)</f>
        <v>RESTAURANTE</v>
      </c>
      <c r="E68" t="str">
        <f>Acrescentar1[[#This Row],[Coluna2]]</f>
        <v>SAO JOAO CONVENIENCIA</v>
      </c>
      <c r="F68" t="str">
        <f>Acrescentar1[[#This Row],[Historico]]</f>
        <v>COMPRA</v>
      </c>
      <c r="G68" s="6">
        <f>IF(Tbl_operations[[#This Row],[Operação Bancária]]="D",Acrescentar1[[#This Row],[Valor]]/100,Acrescentar1[[#This Row],[Valor]]/100)</f>
        <v>100</v>
      </c>
      <c r="H68" t="str">
        <f>Acrescentar1[[#This Row],[Deb_Cred]]</f>
        <v>D</v>
      </c>
      <c r="I68">
        <f>IF(Tbl_operations[[#This Row],[Status]]="POUPANÇA",Controller!$H$17,0)</f>
        <v>0</v>
      </c>
      <c r="J68" t="str">
        <f>IF(Tbl_operations[[#This Row],[Operação Bancária]]="C", "ENTRADA",IF(Tbl_operations[[#This Row],[Operação Bancária]]="P","POUPANÇA","SAIDA"))</f>
        <v>SAIDA</v>
      </c>
    </row>
    <row r="69" spans="1:10" x14ac:dyDescent="0.3">
      <c r="A69" s="1">
        <f>Acrescentar1[[#This Row],[Data_Mov]]</f>
        <v>45645</v>
      </c>
      <c r="B69" s="1" t="str">
        <f>Acrescentar1[[#This Row],[Mês]]</f>
        <v>Dezembro</v>
      </c>
      <c r="C69" s="33">
        <f>Acrescentar1[[#This Row],[Ano]]</f>
        <v>2024</v>
      </c>
      <c r="D69" t="str">
        <f>VLOOKUP(Tbl_operations[[#This Row],[Categoria]],$N$3:$O$111,2,0)</f>
        <v>INVESTIMENTO</v>
      </c>
      <c r="E69" t="str">
        <f>Acrescentar1[[#This Row],[Coluna2]]</f>
        <v>APP</v>
      </c>
      <c r="F69" t="str">
        <f>Acrescentar1[[#This Row],[Historico]]</f>
        <v>APP</v>
      </c>
      <c r="G69" s="6">
        <f>IF(Tbl_operations[[#This Row],[Operação Bancária]]="D",Acrescentar1[[#This Row],[Valor]]/100,Acrescentar1[[#This Row],[Valor]]/100)</f>
        <v>5</v>
      </c>
      <c r="H69" t="str">
        <f>Acrescentar1[[#This Row],[Deb_Cred]]</f>
        <v>D</v>
      </c>
      <c r="I69">
        <f>IF(Tbl_operations[[#This Row],[Status]]="POUPANÇA",Controller!$H$17,0)</f>
        <v>0</v>
      </c>
      <c r="J69" t="str">
        <f>IF(Tbl_operations[[#This Row],[Operação Bancária]]="C", "ENTRADA",IF(Tbl_operations[[#This Row],[Operação Bancária]]="P","POUPANÇA","SAIDA"))</f>
        <v>SAIDA</v>
      </c>
    </row>
    <row r="70" spans="1:10" x14ac:dyDescent="0.3">
      <c r="A70" s="1">
        <f>Acrescentar1[[#This Row],[Data_Mov]]</f>
        <v>45645</v>
      </c>
      <c r="B70" s="1" t="str">
        <f>Acrescentar1[[#This Row],[Mês]]</f>
        <v>Dezembro</v>
      </c>
      <c r="C70" s="33">
        <f>Acrescentar1[[#This Row],[Ano]]</f>
        <v>2024</v>
      </c>
      <c r="D70" t="str">
        <f>VLOOKUP(Tbl_operations[[#This Row],[Categoria]],$N$3:$O$111,2,0)</f>
        <v>SALDO</v>
      </c>
      <c r="E70" t="str">
        <f>Acrescentar1[[#This Row],[Coluna2]]</f>
        <v>SALDO DIA</v>
      </c>
      <c r="F70" t="str">
        <f>Acrescentar1[[#This Row],[Historico]]</f>
        <v>SALDO DIA</v>
      </c>
      <c r="G70" s="6">
        <f>IF(Tbl_operations[[#This Row],[Operação Bancária]]="D",Acrescentar1[[#This Row],[Valor]]/100,Acrescentar1[[#This Row],[Valor]]/100)</f>
        <v>0</v>
      </c>
      <c r="H70" t="str">
        <f>Acrescentar1[[#This Row],[Deb_Cred]]</f>
        <v>D</v>
      </c>
      <c r="I70">
        <f>IF(Tbl_operations[[#This Row],[Status]]="POUPANÇA",Controller!$H$17,0)</f>
        <v>0</v>
      </c>
      <c r="J70" t="str">
        <f>IF(Tbl_operations[[#This Row],[Operação Bancária]]="C", "ENTRADA",IF(Tbl_operations[[#This Row],[Operação Bancária]]="P","POUPANÇA","SAIDA"))</f>
        <v>SAIDA</v>
      </c>
    </row>
    <row r="71" spans="1:10" x14ac:dyDescent="0.3">
      <c r="A71" s="1">
        <f>Acrescentar1[[#This Row],[Data_Mov]]</f>
        <v>45646</v>
      </c>
      <c r="B71" s="1" t="str">
        <f>Acrescentar1[[#This Row],[Mês]]</f>
        <v>Dezembro</v>
      </c>
      <c r="C71" s="33">
        <f>Acrescentar1[[#This Row],[Ano]]</f>
        <v>2024</v>
      </c>
      <c r="D71" t="str">
        <f>VLOOKUP(Tbl_operations[[#This Row],[Categoria]],$N$3:$O$111,2,0)</f>
        <v>SALARIO</v>
      </c>
      <c r="E71" t="str">
        <f>Acrescentar1[[#This Row],[Coluna2]]</f>
        <v>CR RG POUP</v>
      </c>
      <c r="F71" t="str">
        <f>Acrescentar1[[#This Row],[Historico]]</f>
        <v>CR RG POUP</v>
      </c>
      <c r="G71" s="6">
        <f>IF(Tbl_operations[[#This Row],[Operação Bancária]]="D",Acrescentar1[[#This Row],[Valor]]/100,Acrescentar1[[#This Row],[Valor]]/100)</f>
        <v>3500</v>
      </c>
      <c r="H71" t="str">
        <f>Acrescentar1[[#This Row],[Deb_Cred]]</f>
        <v>C</v>
      </c>
      <c r="I71">
        <f>IF(Tbl_operations[[#This Row],[Status]]="POUPANÇA",Controller!$H$17,0)</f>
        <v>0</v>
      </c>
      <c r="J71" t="str">
        <f>IF(Tbl_operations[[#This Row],[Operação Bancária]]="C", "ENTRADA",IF(Tbl_operations[[#This Row],[Operação Bancária]]="P","POUPANÇA","SAIDA"))</f>
        <v>ENTRADA</v>
      </c>
    </row>
    <row r="72" spans="1:10" x14ac:dyDescent="0.3">
      <c r="A72" s="1">
        <f>Acrescentar1[[#This Row],[Data_Mov]]</f>
        <v>45646</v>
      </c>
      <c r="B72" s="1" t="str">
        <f>Acrescentar1[[#This Row],[Mês]]</f>
        <v>Dezembro</v>
      </c>
      <c r="C72" s="33">
        <f>Acrescentar1[[#This Row],[Ano]]</f>
        <v>2024</v>
      </c>
      <c r="D72" t="str">
        <f>VLOOKUP(Tbl_operations[[#This Row],[Categoria]],$N$3:$O$111,2,0)</f>
        <v>PAG BOLETO</v>
      </c>
      <c r="E72" t="str">
        <f>Acrescentar1[[#This Row],[Coluna2]]</f>
        <v>PAG BOLETO</v>
      </c>
      <c r="F72" t="str">
        <f>Acrescentar1[[#This Row],[Historico]]</f>
        <v>PAG BOLETO</v>
      </c>
      <c r="G72" s="6">
        <f>IF(Tbl_operations[[#This Row],[Operação Bancária]]="D",Acrescentar1[[#This Row],[Valor]]/100,Acrescentar1[[#This Row],[Valor]]/100)</f>
        <v>2506.44</v>
      </c>
      <c r="H72" t="str">
        <f>Acrescentar1[[#This Row],[Deb_Cred]]</f>
        <v>D</v>
      </c>
      <c r="I72">
        <f>IF(Tbl_operations[[#This Row],[Status]]="POUPANÇA",Controller!$H$17,0)</f>
        <v>0</v>
      </c>
      <c r="J72" t="str">
        <f>IF(Tbl_operations[[#This Row],[Operação Bancária]]="C", "ENTRADA",IF(Tbl_operations[[#This Row],[Operação Bancária]]="P","POUPANÇA","SAIDA"))</f>
        <v>SAIDA</v>
      </c>
    </row>
    <row r="73" spans="1:10" x14ac:dyDescent="0.3">
      <c r="A73" s="1">
        <f>Acrescentar1[[#This Row],[Data_Mov]]</f>
        <v>45646</v>
      </c>
      <c r="B73" s="1" t="str">
        <f>Acrescentar1[[#This Row],[Mês]]</f>
        <v>Dezembro</v>
      </c>
      <c r="C73" s="33">
        <f>Acrescentar1[[#This Row],[Ano]]</f>
        <v>2024</v>
      </c>
      <c r="D73" t="str">
        <f>VLOOKUP(Tbl_operations[[#This Row],[Categoria]],$N$3:$O$111,2,0)</f>
        <v>PAG BOLETO</v>
      </c>
      <c r="E73" t="str">
        <f>Acrescentar1[[#This Row],[Coluna2]]</f>
        <v>PAG BOLETO</v>
      </c>
      <c r="F73" t="str">
        <f>Acrescentar1[[#This Row],[Historico]]</f>
        <v>PAG BOLETO</v>
      </c>
      <c r="G73" s="6">
        <f>IF(Tbl_operations[[#This Row],[Operação Bancária]]="D",Acrescentar1[[#This Row],[Valor]]/100,Acrescentar1[[#This Row],[Valor]]/100)</f>
        <v>246.6</v>
      </c>
      <c r="H73" t="str">
        <f>Acrescentar1[[#This Row],[Deb_Cred]]</f>
        <v>D</v>
      </c>
      <c r="I73">
        <f>IF(Tbl_operations[[#This Row],[Status]]="POUPANÇA",Controller!$H$17,0)</f>
        <v>0</v>
      </c>
      <c r="J73" t="str">
        <f>IF(Tbl_operations[[#This Row],[Operação Bancária]]="C", "ENTRADA",IF(Tbl_operations[[#This Row],[Operação Bancária]]="P","POUPANÇA","SAIDA"))</f>
        <v>SAIDA</v>
      </c>
    </row>
    <row r="74" spans="1:10" x14ac:dyDescent="0.3">
      <c r="A74" s="1">
        <f>Acrescentar1[[#This Row],[Data_Mov]]</f>
        <v>45646</v>
      </c>
      <c r="B74" s="1" t="str">
        <f>Acrescentar1[[#This Row],[Mês]]</f>
        <v>Dezembro</v>
      </c>
      <c r="C74" s="33">
        <f>Acrescentar1[[#This Row],[Ano]]</f>
        <v>2024</v>
      </c>
      <c r="D74" t="str">
        <f>VLOOKUP(Tbl_operations[[#This Row],[Categoria]],$N$3:$O$111,2,0)</f>
        <v>PAG BOLETO</v>
      </c>
      <c r="E74" t="str">
        <f>Acrescentar1[[#This Row],[Coluna2]]</f>
        <v>PAG BOLETO</v>
      </c>
      <c r="F74" t="str">
        <f>Acrescentar1[[#This Row],[Historico]]</f>
        <v>PAG BOLETO</v>
      </c>
      <c r="G74" s="6">
        <f>IF(Tbl_operations[[#This Row],[Operação Bancária]]="D",Acrescentar1[[#This Row],[Valor]]/100,Acrescentar1[[#This Row],[Valor]]/100)</f>
        <v>311.33</v>
      </c>
      <c r="H74" t="str">
        <f>Acrescentar1[[#This Row],[Deb_Cred]]</f>
        <v>D</v>
      </c>
      <c r="I74">
        <f>IF(Tbl_operations[[#This Row],[Status]]="POUPANÇA",Controller!$H$17,0)</f>
        <v>0</v>
      </c>
      <c r="J74" t="str">
        <f>IF(Tbl_operations[[#This Row],[Operação Bancária]]="C", "ENTRADA",IF(Tbl_operations[[#This Row],[Operação Bancária]]="P","POUPANÇA","SAIDA"))</f>
        <v>SAIDA</v>
      </c>
    </row>
    <row r="75" spans="1:10" x14ac:dyDescent="0.3">
      <c r="A75" s="1">
        <f>Acrescentar1[[#This Row],[Data_Mov]]</f>
        <v>45646</v>
      </c>
      <c r="B75" s="1" t="str">
        <f>Acrescentar1[[#This Row],[Mês]]</f>
        <v>Dezembro</v>
      </c>
      <c r="C75" s="33">
        <f>Acrescentar1[[#This Row],[Ano]]</f>
        <v>2024</v>
      </c>
      <c r="D75" t="str">
        <f>VLOOKUP(Tbl_operations[[#This Row],[Categoria]],$N$3:$O$111,2,0)</f>
        <v>PAI-DIRCE</v>
      </c>
      <c r="E75" t="str">
        <f>Acrescentar1[[#This Row],[Coluna2]]</f>
        <v>ENVIO PIX</v>
      </c>
      <c r="F75" t="str">
        <f>Acrescentar1[[#This Row],[Historico]]</f>
        <v>ENVIO PIX</v>
      </c>
      <c r="G75" s="6">
        <f>IF(Tbl_operations[[#This Row],[Operação Bancária]]="D",Acrescentar1[[#This Row],[Valor]]/100,Acrescentar1[[#This Row],[Valor]]/100)</f>
        <v>129.9</v>
      </c>
      <c r="H75" t="str">
        <f>Acrescentar1[[#This Row],[Deb_Cred]]</f>
        <v>D</v>
      </c>
      <c r="I75">
        <f>IF(Tbl_operations[[#This Row],[Status]]="POUPANÇA",Controller!$H$17,0)</f>
        <v>0</v>
      </c>
      <c r="J75" t="str">
        <f>IF(Tbl_operations[[#This Row],[Operação Bancária]]="C", "ENTRADA",IF(Tbl_operations[[#This Row],[Operação Bancária]]="P","POUPANÇA","SAIDA"))</f>
        <v>SAIDA</v>
      </c>
    </row>
    <row r="76" spans="1:10" x14ac:dyDescent="0.3">
      <c r="A76" s="1">
        <f>Acrescentar1[[#This Row],[Data_Mov]]</f>
        <v>45646</v>
      </c>
      <c r="B76" s="1" t="str">
        <f>Acrescentar1[[#This Row],[Mês]]</f>
        <v>Dezembro</v>
      </c>
      <c r="C76" s="33">
        <f>Acrescentar1[[#This Row],[Ano]]</f>
        <v>2024</v>
      </c>
      <c r="D76" t="str">
        <f>VLOOKUP(Tbl_operations[[#This Row],[Categoria]],$N$3:$O$111,2,0)</f>
        <v>SALARIO</v>
      </c>
      <c r="E76" t="str">
        <f>Acrescentar1[[#This Row],[Coluna2]]</f>
        <v>CR RG POUP</v>
      </c>
      <c r="F76" t="str">
        <f>Acrescentar1[[#This Row],[Historico]]</f>
        <v>CR RG POUP</v>
      </c>
      <c r="G76" s="6">
        <f>IF(Tbl_operations[[#This Row],[Operação Bancária]]="D",Acrescentar1[[#This Row],[Valor]]/100,Acrescentar1[[#This Row],[Valor]]/100)</f>
        <v>500</v>
      </c>
      <c r="H76" t="str">
        <f>Acrescentar1[[#This Row],[Deb_Cred]]</f>
        <v>C</v>
      </c>
      <c r="I76">
        <f>IF(Tbl_operations[[#This Row],[Status]]="POUPANÇA",Controller!$H$17,0)</f>
        <v>0</v>
      </c>
      <c r="J76" t="str">
        <f>IF(Tbl_operations[[#This Row],[Operação Bancária]]="C", "ENTRADA",IF(Tbl_operations[[#This Row],[Operação Bancária]]="P","POUPANÇA","SAIDA"))</f>
        <v>ENTRADA</v>
      </c>
    </row>
    <row r="77" spans="1:10" x14ac:dyDescent="0.3">
      <c r="A77" s="1">
        <f>Acrescentar1[[#This Row],[Data_Mov]]</f>
        <v>45646</v>
      </c>
      <c r="B77" s="1" t="str">
        <f>Acrescentar1[[#This Row],[Mês]]</f>
        <v>Dezembro</v>
      </c>
      <c r="C77" s="33">
        <f>Acrescentar1[[#This Row],[Ano]]</f>
        <v>2024</v>
      </c>
      <c r="D77" t="str">
        <f>VLOOKUP(Tbl_operations[[#This Row],[Categoria]],$N$3:$O$111,2,0)</f>
        <v>EMPRESTIMO</v>
      </c>
      <c r="E77" t="str">
        <f>Acrescentar1[[#This Row],[Coluna2]]</f>
        <v>PREST CDC</v>
      </c>
      <c r="F77" t="str">
        <f>Acrescentar1[[#This Row],[Historico]]</f>
        <v>PREST CDC</v>
      </c>
      <c r="G77" s="6">
        <f>IF(Tbl_operations[[#This Row],[Operação Bancária]]="D",Acrescentar1[[#This Row],[Valor]]/100,Acrescentar1[[#This Row],[Valor]]/100)</f>
        <v>561.75</v>
      </c>
      <c r="H77" t="str">
        <f>Acrescentar1[[#This Row],[Deb_Cred]]</f>
        <v>D</v>
      </c>
      <c r="I77">
        <f>IF(Tbl_operations[[#This Row],[Status]]="POUPANÇA",Controller!$H$17,0)</f>
        <v>0</v>
      </c>
      <c r="J77" t="str">
        <f>IF(Tbl_operations[[#This Row],[Operação Bancária]]="C", "ENTRADA",IF(Tbl_operations[[#This Row],[Operação Bancária]]="P","POUPANÇA","SAIDA"))</f>
        <v>SAIDA</v>
      </c>
    </row>
    <row r="78" spans="1:10" x14ac:dyDescent="0.3">
      <c r="A78" s="1">
        <f>Acrescentar1[[#This Row],[Data_Mov]]</f>
        <v>45646</v>
      </c>
      <c r="B78" s="1" t="str">
        <f>Acrescentar1[[#This Row],[Mês]]</f>
        <v>Dezembro</v>
      </c>
      <c r="C78" s="33">
        <f>Acrescentar1[[#This Row],[Ano]]</f>
        <v>2024</v>
      </c>
      <c r="D78" t="str">
        <f>VLOOKUP(Tbl_operations[[#This Row],[Categoria]],$N$3:$O$111,2,0)</f>
        <v>PET</v>
      </c>
      <c r="E78" t="str">
        <f>Acrescentar1[[#This Row],[Coluna2]]</f>
        <v>Comercialagro</v>
      </c>
      <c r="F78" t="str">
        <f>Acrescentar1[[#This Row],[Historico]]</f>
        <v>COMPRA</v>
      </c>
      <c r="G78" s="6">
        <f>IF(Tbl_operations[[#This Row],[Operação Bancária]]="D",Acrescentar1[[#This Row],[Valor]]/100,Acrescentar1[[#This Row],[Valor]]/100)</f>
        <v>10</v>
      </c>
      <c r="H78" t="str">
        <f>Acrescentar1[[#This Row],[Deb_Cred]]</f>
        <v>D</v>
      </c>
      <c r="I78">
        <f>IF(Tbl_operations[[#This Row],[Status]]="POUPANÇA",Controller!$H$17,0)</f>
        <v>0</v>
      </c>
      <c r="J78" t="str">
        <f>IF(Tbl_operations[[#This Row],[Operação Bancária]]="C", "ENTRADA",IF(Tbl_operations[[#This Row],[Operação Bancária]]="P","POUPANÇA","SAIDA"))</f>
        <v>SAIDA</v>
      </c>
    </row>
    <row r="79" spans="1:10" x14ac:dyDescent="0.3">
      <c r="A79" s="1">
        <f>Acrescentar1[[#This Row],[Data_Mov]]</f>
        <v>45646</v>
      </c>
      <c r="B79" s="1" t="str">
        <f>Acrescentar1[[#This Row],[Mês]]</f>
        <v>Dezembro</v>
      </c>
      <c r="C79" s="33">
        <f>Acrescentar1[[#This Row],[Ano]]</f>
        <v>2024</v>
      </c>
      <c r="D79" t="str">
        <f>VLOOKUP(Tbl_operations[[#This Row],[Categoria]],$N$3:$O$111,2,0)</f>
        <v>SALDO</v>
      </c>
      <c r="E79" t="str">
        <f>Acrescentar1[[#This Row],[Coluna2]]</f>
        <v>SALDO DIA</v>
      </c>
      <c r="F79" t="str">
        <f>Acrescentar1[[#This Row],[Historico]]</f>
        <v>SALDO DIA</v>
      </c>
      <c r="G79" s="6">
        <f>IF(Tbl_operations[[#This Row],[Operação Bancária]]="D",Acrescentar1[[#This Row],[Valor]]/100,Acrescentar1[[#This Row],[Valor]]/100)</f>
        <v>0</v>
      </c>
      <c r="H79" t="str">
        <f>Acrescentar1[[#This Row],[Deb_Cred]]</f>
        <v>D</v>
      </c>
      <c r="I79">
        <f>IF(Tbl_operations[[#This Row],[Status]]="POUPANÇA",Controller!$H$17,0)</f>
        <v>0</v>
      </c>
      <c r="J79" t="str">
        <f>IF(Tbl_operations[[#This Row],[Operação Bancária]]="C", "ENTRADA",IF(Tbl_operations[[#This Row],[Operação Bancária]]="P","POUPANÇA","SAIDA"))</f>
        <v>SAIDA</v>
      </c>
    </row>
    <row r="80" spans="1:10" x14ac:dyDescent="0.3">
      <c r="A80" s="1">
        <f>Acrescentar1[[#This Row],[Data_Mov]]</f>
        <v>45649</v>
      </c>
      <c r="B80" s="1" t="str">
        <f>Acrescentar1[[#This Row],[Mês]]</f>
        <v>Dezembro</v>
      </c>
      <c r="C80" s="33">
        <f>Acrescentar1[[#This Row],[Ano]]</f>
        <v>2024</v>
      </c>
      <c r="D80" t="str">
        <f>VLOOKUP(Tbl_operations[[#This Row],[Categoria]],$N$3:$O$111,2,0)</f>
        <v>GAS</v>
      </c>
      <c r="E80" t="str">
        <f>Acrescentar1[[#This Row],[Coluna2]]</f>
        <v>FACIGAS</v>
      </c>
      <c r="F80" t="str">
        <f>Acrescentar1[[#This Row],[Historico]]</f>
        <v>COMPRA</v>
      </c>
      <c r="G80" s="6">
        <f>IF(Tbl_operations[[#This Row],[Operação Bancária]]="D",Acrescentar1[[#This Row],[Valor]]/100,Acrescentar1[[#This Row],[Valor]]/100)</f>
        <v>110</v>
      </c>
      <c r="H80" t="str">
        <f>Acrescentar1[[#This Row],[Deb_Cred]]</f>
        <v>D</v>
      </c>
      <c r="I80">
        <f>IF(Tbl_operations[[#This Row],[Status]]="POUPANÇA",Controller!$H$17,0)</f>
        <v>0</v>
      </c>
      <c r="J80" t="str">
        <f>IF(Tbl_operations[[#This Row],[Operação Bancária]]="C", "ENTRADA",IF(Tbl_operations[[#This Row],[Operação Bancária]]="P","POUPANÇA","SAIDA"))</f>
        <v>SAIDA</v>
      </c>
    </row>
    <row r="81" spans="1:10" x14ac:dyDescent="0.3">
      <c r="A81" s="1">
        <f>Acrescentar1[[#This Row],[Data_Mov]]</f>
        <v>45649</v>
      </c>
      <c r="B81" s="1" t="str">
        <f>Acrescentar1[[#This Row],[Mês]]</f>
        <v>Dezembro</v>
      </c>
      <c r="C81" s="33">
        <f>Acrescentar1[[#This Row],[Ano]]</f>
        <v>2024</v>
      </c>
      <c r="D81" t="str">
        <f>VLOOKUP(Tbl_operations[[#This Row],[Categoria]],$N$3:$O$111,2,0)</f>
        <v>SEGURO</v>
      </c>
      <c r="E81" t="str">
        <f>Acrescentar1[[#This Row],[Coluna2]]</f>
        <v>SEGURADORA</v>
      </c>
      <c r="F81" t="str">
        <f>Acrescentar1[[#This Row],[Historico]]</f>
        <v>SEGURADORA</v>
      </c>
      <c r="G81" s="6">
        <f>IF(Tbl_operations[[#This Row],[Operação Bancária]]="D",Acrescentar1[[#This Row],[Valor]]/100,Acrescentar1[[#This Row],[Valor]]/100)</f>
        <v>80.66</v>
      </c>
      <c r="H81" t="str">
        <f>Acrescentar1[[#This Row],[Deb_Cred]]</f>
        <v>D</v>
      </c>
      <c r="I81">
        <f>IF(Tbl_operations[[#This Row],[Status]]="POUPANÇA",Controller!$H$17,0)</f>
        <v>0</v>
      </c>
      <c r="J81" t="str">
        <f>IF(Tbl_operations[[#This Row],[Operação Bancária]]="C", "ENTRADA",IF(Tbl_operations[[#This Row],[Operação Bancária]]="P","POUPANÇA","SAIDA"))</f>
        <v>SAIDA</v>
      </c>
    </row>
    <row r="82" spans="1:10" x14ac:dyDescent="0.3">
      <c r="A82" s="1">
        <f>Acrescentar1[[#This Row],[Data_Mov]]</f>
        <v>45649</v>
      </c>
      <c r="B82" s="1" t="str">
        <f>Acrescentar1[[#This Row],[Mês]]</f>
        <v>Dezembro</v>
      </c>
      <c r="C82" s="33">
        <f>Acrescentar1[[#This Row],[Ano]]</f>
        <v>2024</v>
      </c>
      <c r="D82" t="str">
        <f>VLOOKUP(Tbl_operations[[#This Row],[Categoria]],$N$3:$O$111,2,0)</f>
        <v>ENTRETENIMENTO</v>
      </c>
      <c r="E82" t="str">
        <f>Acrescentar1[[#This Row],[Coluna2]]</f>
        <v>NETFLIX.COM</v>
      </c>
      <c r="F82" t="str">
        <f>Acrescentar1[[#This Row],[Historico]]</f>
        <v>COMPRA</v>
      </c>
      <c r="G82" s="6">
        <f>IF(Tbl_operations[[#This Row],[Operação Bancária]]="D",Acrescentar1[[#This Row],[Valor]]/100,Acrescentar1[[#This Row],[Valor]]/100)</f>
        <v>44.9</v>
      </c>
      <c r="H82" t="str">
        <f>Acrescentar1[[#This Row],[Deb_Cred]]</f>
        <v>D</v>
      </c>
      <c r="I82">
        <f>IF(Tbl_operations[[#This Row],[Status]]="POUPANÇA",Controller!$H$17,0)</f>
        <v>0</v>
      </c>
      <c r="J82" t="str">
        <f>IF(Tbl_operations[[#This Row],[Operação Bancária]]="C", "ENTRADA",IF(Tbl_operations[[#This Row],[Operação Bancária]]="P","POUPANÇA","SAIDA"))</f>
        <v>SAIDA</v>
      </c>
    </row>
    <row r="83" spans="1:10" x14ac:dyDescent="0.3">
      <c r="A83" s="1">
        <f>Acrescentar1[[#This Row],[Data_Mov]]</f>
        <v>45649</v>
      </c>
      <c r="B83" s="1" t="str">
        <f>Acrescentar1[[#This Row],[Mês]]</f>
        <v>Dezembro</v>
      </c>
      <c r="C83" s="33">
        <f>Acrescentar1[[#This Row],[Ano]]</f>
        <v>2024</v>
      </c>
      <c r="D83" t="str">
        <f>VLOOKUP(Tbl_operations[[#This Row],[Categoria]],$N$3:$O$111,2,0)</f>
        <v>PAI-DIRCE</v>
      </c>
      <c r="E83" t="str">
        <f>Acrescentar1[[#This Row],[Coluna2]]</f>
        <v>ENVIO PIX</v>
      </c>
      <c r="F83" t="str">
        <f>Acrescentar1[[#This Row],[Historico]]</f>
        <v>ENVIO PIX</v>
      </c>
      <c r="G83" s="6">
        <f>IF(Tbl_operations[[#This Row],[Operação Bancária]]="D",Acrescentar1[[#This Row],[Valor]]/100,Acrescentar1[[#This Row],[Valor]]/100)</f>
        <v>28</v>
      </c>
      <c r="H83" t="str">
        <f>Acrescentar1[[#This Row],[Deb_Cred]]</f>
        <v>D</v>
      </c>
      <c r="I83">
        <f>IF(Tbl_operations[[#This Row],[Status]]="POUPANÇA",Controller!$H$17,0)</f>
        <v>0</v>
      </c>
      <c r="J83" t="str">
        <f>IF(Tbl_operations[[#This Row],[Operação Bancária]]="C", "ENTRADA",IF(Tbl_operations[[#This Row],[Operação Bancária]]="P","POUPANÇA","SAIDA"))</f>
        <v>SAIDA</v>
      </c>
    </row>
    <row r="84" spans="1:10" x14ac:dyDescent="0.3">
      <c r="A84" s="1">
        <f>Acrescentar1[[#This Row],[Data_Mov]]</f>
        <v>45649</v>
      </c>
      <c r="B84" s="1" t="str">
        <f>Acrescentar1[[#This Row],[Mês]]</f>
        <v>Dezembro</v>
      </c>
      <c r="C84" s="33">
        <f>Acrescentar1[[#This Row],[Ano]]</f>
        <v>2024</v>
      </c>
      <c r="D84" t="str">
        <f>VLOOKUP(Tbl_operations[[#This Row],[Categoria]],$N$3:$O$111,2,0)</f>
        <v>SAQUE</v>
      </c>
      <c r="E84" t="str">
        <f>Acrescentar1[[#This Row],[Coluna2]]</f>
        <v>SAQUE BIOM</v>
      </c>
      <c r="F84" t="str">
        <f>Acrescentar1[[#This Row],[Historico]]</f>
        <v>SAQUE BIOM</v>
      </c>
      <c r="G84" s="6">
        <f>IF(Tbl_operations[[#This Row],[Operação Bancária]]="D",Acrescentar1[[#This Row],[Valor]]/100,Acrescentar1[[#This Row],[Valor]]/100)</f>
        <v>16</v>
      </c>
      <c r="H84" t="str">
        <f>Acrescentar1[[#This Row],[Deb_Cred]]</f>
        <v>D</v>
      </c>
      <c r="I84">
        <f>IF(Tbl_operations[[#This Row],[Status]]="POUPANÇA",Controller!$H$17,0)</f>
        <v>0</v>
      </c>
      <c r="J84" t="str">
        <f>IF(Tbl_operations[[#This Row],[Operação Bancária]]="C", "ENTRADA",IF(Tbl_operations[[#This Row],[Operação Bancária]]="P","POUPANÇA","SAIDA"))</f>
        <v>SAIDA</v>
      </c>
    </row>
    <row r="85" spans="1:10" x14ac:dyDescent="0.3">
      <c r="A85" s="1">
        <f>Acrescentar1[[#This Row],[Data_Mov]]</f>
        <v>45649</v>
      </c>
      <c r="B85" s="1" t="str">
        <f>Acrescentar1[[#This Row],[Mês]]</f>
        <v>Dezembro</v>
      </c>
      <c r="C85" s="33">
        <f>Acrescentar1[[#This Row],[Ano]]</f>
        <v>2024</v>
      </c>
      <c r="D85" t="str">
        <f>VLOOKUP(Tbl_operations[[#This Row],[Categoria]],$N$3:$O$111,2,0)</f>
        <v>PAI-DIRCE</v>
      </c>
      <c r="E85" t="str">
        <f>Acrescentar1[[#This Row],[Coluna2]]</f>
        <v>ENVIO PIX</v>
      </c>
      <c r="F85" t="str">
        <f>Acrescentar1[[#This Row],[Historico]]</f>
        <v>ENVIO PIX</v>
      </c>
      <c r="G85" s="6">
        <f>IF(Tbl_operations[[#This Row],[Operação Bancária]]="D",Acrescentar1[[#This Row],[Valor]]/100,Acrescentar1[[#This Row],[Valor]]/100)</f>
        <v>49</v>
      </c>
      <c r="H85" t="str">
        <f>Acrescentar1[[#This Row],[Deb_Cred]]</f>
        <v>D</v>
      </c>
      <c r="I85">
        <f>IF(Tbl_operations[[#This Row],[Status]]="POUPANÇA",Controller!$H$17,0)</f>
        <v>0</v>
      </c>
      <c r="J85" t="str">
        <f>IF(Tbl_operations[[#This Row],[Operação Bancária]]="C", "ENTRADA",IF(Tbl_operations[[#This Row],[Operação Bancária]]="P","POUPANÇA","SAIDA"))</f>
        <v>SAIDA</v>
      </c>
    </row>
    <row r="86" spans="1:10" x14ac:dyDescent="0.3">
      <c r="A86" s="1">
        <f>Acrescentar1[[#This Row],[Data_Mov]]</f>
        <v>45649</v>
      </c>
      <c r="B86" s="1" t="str">
        <f>Acrescentar1[[#This Row],[Mês]]</f>
        <v>Dezembro</v>
      </c>
      <c r="C86" s="33">
        <f>Acrescentar1[[#This Row],[Ano]]</f>
        <v>2024</v>
      </c>
      <c r="D86" t="str">
        <f>VLOOKUP(Tbl_operations[[#This Row],[Categoria]],$N$3:$O$111,2,0)</f>
        <v>SALDO</v>
      </c>
      <c r="E86" t="str">
        <f>Acrescentar1[[#This Row],[Coluna2]]</f>
        <v>SALDO DIA</v>
      </c>
      <c r="F86" t="str">
        <f>Acrescentar1[[#This Row],[Historico]]</f>
        <v>SALDO DIA</v>
      </c>
      <c r="G86" s="6">
        <f>IF(Tbl_operations[[#This Row],[Operação Bancária]]="D",Acrescentar1[[#This Row],[Valor]]/100,Acrescentar1[[#This Row],[Valor]]/100)</f>
        <v>0</v>
      </c>
      <c r="H86" t="str">
        <f>Acrescentar1[[#This Row],[Deb_Cred]]</f>
        <v>D</v>
      </c>
      <c r="I86">
        <f>IF(Tbl_operations[[#This Row],[Status]]="POUPANÇA",Controller!$H$17,0)</f>
        <v>0</v>
      </c>
      <c r="J86" t="str">
        <f>IF(Tbl_operations[[#This Row],[Operação Bancária]]="C", "ENTRADA",IF(Tbl_operations[[#This Row],[Operação Bancária]]="P","POUPANÇA","SAIDA"))</f>
        <v>SAIDA</v>
      </c>
    </row>
    <row r="87" spans="1:10" x14ac:dyDescent="0.3">
      <c r="A87" s="1">
        <f>Acrescentar1[[#This Row],[Data_Mov]]</f>
        <v>45650</v>
      </c>
      <c r="B87" s="1" t="str">
        <f>Acrescentar1[[#This Row],[Mês]]</f>
        <v>Dezembro</v>
      </c>
      <c r="C87" s="33">
        <f>Acrescentar1[[#This Row],[Ano]]</f>
        <v>2024</v>
      </c>
      <c r="D87" t="str">
        <f>VLOOKUP(Tbl_operations[[#This Row],[Categoria]],$N$3:$O$111,2,0)</f>
        <v>SALARIO</v>
      </c>
      <c r="E87" t="str">
        <f>Acrescentar1[[#This Row],[Coluna2]]</f>
        <v>CR RG POUP</v>
      </c>
      <c r="F87" t="str">
        <f>Acrescentar1[[#This Row],[Historico]]</f>
        <v>CR RG POUP</v>
      </c>
      <c r="G87" s="6">
        <f>IF(Tbl_operations[[#This Row],[Operação Bancária]]="D",Acrescentar1[[#This Row],[Valor]]/100,Acrescentar1[[#This Row],[Valor]]/100)</f>
        <v>200</v>
      </c>
      <c r="H87" t="str">
        <f>Acrescentar1[[#This Row],[Deb_Cred]]</f>
        <v>C</v>
      </c>
      <c r="I87">
        <f>IF(Tbl_operations[[#This Row],[Status]]="POUPANÇA",Controller!$H$17,0)</f>
        <v>0</v>
      </c>
      <c r="J87" t="str">
        <f>IF(Tbl_operations[[#This Row],[Operação Bancária]]="C", "ENTRADA",IF(Tbl_operations[[#This Row],[Operação Bancária]]="P","POUPANÇA","SAIDA"))</f>
        <v>ENTRADA</v>
      </c>
    </row>
    <row r="88" spans="1:10" x14ac:dyDescent="0.3">
      <c r="A88" s="1">
        <f>Acrescentar1[[#This Row],[Data_Mov]]</f>
        <v>45650</v>
      </c>
      <c r="B88" s="1" t="str">
        <f>Acrescentar1[[#This Row],[Mês]]</f>
        <v>Dezembro</v>
      </c>
      <c r="C88" s="33">
        <f>Acrescentar1[[#This Row],[Ano]]</f>
        <v>2024</v>
      </c>
      <c r="D88" t="str">
        <f>VLOOKUP(Tbl_operations[[#This Row],[Categoria]],$N$3:$O$111,2,0)</f>
        <v>RESTAURANTE</v>
      </c>
      <c r="E88" t="str">
        <f>Acrescentar1[[#This Row],[Coluna2]]</f>
        <v>MP*PADARIACRISTA</v>
      </c>
      <c r="F88" t="str">
        <f>Acrescentar1[[#This Row],[Historico]]</f>
        <v>COMPRA</v>
      </c>
      <c r="G88" s="6">
        <f>IF(Tbl_operations[[#This Row],[Operação Bancária]]="D",Acrescentar1[[#This Row],[Valor]]/100,Acrescentar1[[#This Row],[Valor]]/100)</f>
        <v>10.4</v>
      </c>
      <c r="H88" t="str">
        <f>Acrescentar1[[#This Row],[Deb_Cred]]</f>
        <v>D</v>
      </c>
      <c r="I88">
        <f>IF(Tbl_operations[[#This Row],[Status]]="POUPANÇA",Controller!$H$17,0)</f>
        <v>0</v>
      </c>
      <c r="J88" t="str">
        <f>IF(Tbl_operations[[#This Row],[Operação Bancária]]="C", "ENTRADA",IF(Tbl_operations[[#This Row],[Operação Bancária]]="P","POUPANÇA","SAIDA"))</f>
        <v>SAIDA</v>
      </c>
    </row>
    <row r="89" spans="1:10" x14ac:dyDescent="0.3">
      <c r="A89" s="1">
        <f>Acrescentar1[[#This Row],[Data_Mov]]</f>
        <v>45650</v>
      </c>
      <c r="B89" s="1" t="str">
        <f>Acrescentar1[[#This Row],[Mês]]</f>
        <v>Dezembro</v>
      </c>
      <c r="C89" s="33">
        <f>Acrescentar1[[#This Row],[Ano]]</f>
        <v>2024</v>
      </c>
      <c r="D89" t="str">
        <f>VLOOKUP(Tbl_operations[[#This Row],[Categoria]],$N$3:$O$111,2,0)</f>
        <v>COMBUSTIVEL</v>
      </c>
      <c r="E89" t="str">
        <f>Acrescentar1[[#This Row],[Coluna2]]</f>
        <v>PParada</v>
      </c>
      <c r="F89" t="str">
        <f>Acrescentar1[[#This Row],[Historico]]</f>
        <v>COMPRA</v>
      </c>
      <c r="G89" s="6">
        <f>IF(Tbl_operations[[#This Row],[Operação Bancária]]="D",Acrescentar1[[#This Row],[Valor]]/100,Acrescentar1[[#This Row],[Valor]]/100)</f>
        <v>50</v>
      </c>
      <c r="H89" t="str">
        <f>Acrescentar1[[#This Row],[Deb_Cred]]</f>
        <v>D</v>
      </c>
      <c r="I89">
        <f>IF(Tbl_operations[[#This Row],[Status]]="POUPANÇA",Controller!$H$17,0)</f>
        <v>0</v>
      </c>
      <c r="J89" t="str">
        <f>IF(Tbl_operations[[#This Row],[Operação Bancária]]="C", "ENTRADA",IF(Tbl_operations[[#This Row],[Operação Bancária]]="P","POUPANÇA","SAIDA"))</f>
        <v>SAIDA</v>
      </c>
    </row>
    <row r="90" spans="1:10" x14ac:dyDescent="0.3">
      <c r="A90" s="1">
        <f>Acrescentar1[[#This Row],[Data_Mov]]</f>
        <v>45650</v>
      </c>
      <c r="B90" s="1" t="str">
        <f>Acrescentar1[[#This Row],[Mês]]</f>
        <v>Dezembro</v>
      </c>
      <c r="C90" s="33">
        <f>Acrescentar1[[#This Row],[Ano]]</f>
        <v>2024</v>
      </c>
      <c r="D90" t="str">
        <f>VLOOKUP(Tbl_operations[[#This Row],[Categoria]],$N$3:$O$111,2,0)</f>
        <v>SALDO</v>
      </c>
      <c r="E90" t="str">
        <f>Acrescentar1[[#This Row],[Coluna2]]</f>
        <v>SALDO DIA</v>
      </c>
      <c r="F90" t="str">
        <f>Acrescentar1[[#This Row],[Historico]]</f>
        <v>SALDO DIA</v>
      </c>
      <c r="G90" s="6">
        <f>IF(Tbl_operations[[#This Row],[Operação Bancária]]="D",Acrescentar1[[#This Row],[Valor]]/100,Acrescentar1[[#This Row],[Valor]]/100)</f>
        <v>0</v>
      </c>
      <c r="H90" t="str">
        <f>Acrescentar1[[#This Row],[Deb_Cred]]</f>
        <v>D</v>
      </c>
      <c r="I90">
        <f>IF(Tbl_operations[[#This Row],[Status]]="POUPANÇA",Controller!$H$17,0)</f>
        <v>0</v>
      </c>
      <c r="J90" t="str">
        <f>IF(Tbl_operations[[#This Row],[Operação Bancária]]="C", "ENTRADA",IF(Tbl_operations[[#This Row],[Operação Bancária]]="P","POUPANÇA","SAIDA"))</f>
        <v>SAIDA</v>
      </c>
    </row>
    <row r="91" spans="1:10" x14ac:dyDescent="0.3">
      <c r="A91" s="1">
        <f>Acrescentar1[[#This Row],[Data_Mov]]</f>
        <v>45652</v>
      </c>
      <c r="B91" s="1" t="str">
        <f>Acrescentar1[[#This Row],[Mês]]</f>
        <v>Dezembro</v>
      </c>
      <c r="C91" s="33">
        <f>Acrescentar1[[#This Row],[Ano]]</f>
        <v>2024</v>
      </c>
      <c r="D91" t="str">
        <f>VLOOKUP(Tbl_operations[[#This Row],[Categoria]],$N$3:$O$111,2,0)</f>
        <v>COMBUSTIVEL</v>
      </c>
      <c r="E91" t="str">
        <f>Acrescentar1[[#This Row],[Coluna2]]</f>
        <v>PParada</v>
      </c>
      <c r="F91" t="str">
        <f>Acrescentar1[[#This Row],[Historico]]</f>
        <v>COMPRA</v>
      </c>
      <c r="G91" s="6">
        <f>IF(Tbl_operations[[#This Row],[Operação Bancária]]="D",Acrescentar1[[#This Row],[Valor]]/100,Acrescentar1[[#This Row],[Valor]]/100)</f>
        <v>50</v>
      </c>
      <c r="H91" t="str">
        <f>Acrescentar1[[#This Row],[Deb_Cred]]</f>
        <v>D</v>
      </c>
      <c r="I91">
        <f>IF(Tbl_operations[[#This Row],[Status]]="POUPANÇA",Controller!$H$17,0)</f>
        <v>0</v>
      </c>
      <c r="J91" t="str">
        <f>IF(Tbl_operations[[#This Row],[Operação Bancária]]="C", "ENTRADA",IF(Tbl_operations[[#This Row],[Operação Bancária]]="P","POUPANÇA","SAIDA"))</f>
        <v>SAIDA</v>
      </c>
    </row>
    <row r="92" spans="1:10" x14ac:dyDescent="0.3">
      <c r="A92" s="1">
        <f>Acrescentar1[[#This Row],[Data_Mov]]</f>
        <v>45652</v>
      </c>
      <c r="B92" s="1" t="str">
        <f>Acrescentar1[[#This Row],[Mês]]</f>
        <v>Dezembro</v>
      </c>
      <c r="C92" s="33">
        <f>Acrescentar1[[#This Row],[Ano]]</f>
        <v>2024</v>
      </c>
      <c r="D92" t="str">
        <f>VLOOKUP(Tbl_operations[[#This Row],[Categoria]],$N$3:$O$111,2,0)</f>
        <v>SALDO</v>
      </c>
      <c r="E92" t="str">
        <f>Acrescentar1[[#This Row],[Coluna2]]</f>
        <v>SALDO DIA</v>
      </c>
      <c r="F92" t="str">
        <f>Acrescentar1[[#This Row],[Historico]]</f>
        <v>SALDO DIA</v>
      </c>
      <c r="G92" s="6">
        <f>IF(Tbl_operations[[#This Row],[Operação Bancária]]="D",Acrescentar1[[#This Row],[Valor]]/100,Acrescentar1[[#This Row],[Valor]]/100)</f>
        <v>0</v>
      </c>
      <c r="H92" t="str">
        <f>Acrescentar1[[#This Row],[Deb_Cred]]</f>
        <v>D</v>
      </c>
      <c r="I92">
        <f>IF(Tbl_operations[[#This Row],[Status]]="POUPANÇA",Controller!$H$17,0)</f>
        <v>0</v>
      </c>
      <c r="J92" t="str">
        <f>IF(Tbl_operations[[#This Row],[Operação Bancária]]="C", "ENTRADA",IF(Tbl_operations[[#This Row],[Operação Bancária]]="P","POUPANÇA","SAIDA"))</f>
        <v>SAIDA</v>
      </c>
    </row>
    <row r="93" spans="1:10" x14ac:dyDescent="0.3">
      <c r="A93" s="1">
        <f>Acrescentar1[[#This Row],[Data_Mov]]</f>
        <v>45653</v>
      </c>
      <c r="B93" s="1" t="str">
        <f>Acrescentar1[[#This Row],[Mês]]</f>
        <v>Dezembro</v>
      </c>
      <c r="C93" s="33">
        <f>Acrescentar1[[#This Row],[Ano]]</f>
        <v>2024</v>
      </c>
      <c r="D93" t="str">
        <f>VLOOKUP(Tbl_operations[[#This Row],[Categoria]],$N$3:$O$111,2,0)</f>
        <v>PAI-DIRCE</v>
      </c>
      <c r="E93" t="str">
        <f>Acrescentar1[[#This Row],[Coluna2]]</f>
        <v>ENVIO PIX</v>
      </c>
      <c r="F93" t="str">
        <f>Acrescentar1[[#This Row],[Historico]]</f>
        <v>ENVIO PIX</v>
      </c>
      <c r="G93" s="6">
        <f>IF(Tbl_operations[[#This Row],[Operação Bancária]]="D",Acrescentar1[[#This Row],[Valor]]/100,Acrescentar1[[#This Row],[Valor]]/100)</f>
        <v>25.5</v>
      </c>
      <c r="H93" t="str">
        <f>Acrescentar1[[#This Row],[Deb_Cred]]</f>
        <v>D</v>
      </c>
      <c r="I93">
        <f>IF(Tbl_operations[[#This Row],[Status]]="POUPANÇA",Controller!$H$17,0)</f>
        <v>0</v>
      </c>
      <c r="J93" t="str">
        <f>IF(Tbl_operations[[#This Row],[Operação Bancária]]="C", "ENTRADA",IF(Tbl_operations[[#This Row],[Operação Bancária]]="P","POUPANÇA","SAIDA"))</f>
        <v>SAIDA</v>
      </c>
    </row>
    <row r="94" spans="1:10" x14ac:dyDescent="0.3">
      <c r="A94" s="1">
        <f>Acrescentar1[[#This Row],[Data_Mov]]</f>
        <v>45653</v>
      </c>
      <c r="B94" s="1" t="str">
        <f>Acrescentar1[[#This Row],[Mês]]</f>
        <v>Dezembro</v>
      </c>
      <c r="C94" s="33">
        <f>Acrescentar1[[#This Row],[Ano]]</f>
        <v>2024</v>
      </c>
      <c r="D94" t="str">
        <f>VLOOKUP(Tbl_operations[[#This Row],[Categoria]],$N$3:$O$111,2,0)</f>
        <v>INVESTIMENTO</v>
      </c>
      <c r="E94" t="str">
        <f>Acrescentar1[[#This Row],[Coluna2]]</f>
        <v>APP</v>
      </c>
      <c r="F94" t="str">
        <f>Acrescentar1[[#This Row],[Historico]]</f>
        <v>APP</v>
      </c>
      <c r="G94" s="6">
        <f>IF(Tbl_operations[[#This Row],[Operação Bancária]]="D",Acrescentar1[[#This Row],[Valor]]/100,Acrescentar1[[#This Row],[Valor]]/100)</f>
        <v>5</v>
      </c>
      <c r="H94" t="str">
        <f>Acrescentar1[[#This Row],[Deb_Cred]]</f>
        <v>D</v>
      </c>
      <c r="I94">
        <f>IF(Tbl_operations[[#This Row],[Status]]="POUPANÇA",Controller!$H$17,0)</f>
        <v>0</v>
      </c>
      <c r="J94" t="str">
        <f>IF(Tbl_operations[[#This Row],[Operação Bancária]]="C", "ENTRADA",IF(Tbl_operations[[#This Row],[Operação Bancária]]="P","POUPANÇA","SAIDA"))</f>
        <v>SAIDA</v>
      </c>
    </row>
    <row r="95" spans="1:10" x14ac:dyDescent="0.3">
      <c r="A95" s="1">
        <f>Acrescentar1[[#This Row],[Data_Mov]]</f>
        <v>45653</v>
      </c>
      <c r="B95" s="1" t="str">
        <f>Acrescentar1[[#This Row],[Mês]]</f>
        <v>Dezembro</v>
      </c>
      <c r="C95" s="33">
        <f>Acrescentar1[[#This Row],[Ano]]</f>
        <v>2024</v>
      </c>
      <c r="D95" t="str">
        <f>VLOOKUP(Tbl_operations[[#This Row],[Categoria]],$N$3:$O$111,2,0)</f>
        <v>COMBUSTIVEL</v>
      </c>
      <c r="E95" t="str">
        <f>Acrescentar1[[#This Row],[Coluna2]]</f>
        <v>AutoPostoSygnus</v>
      </c>
      <c r="F95" t="str">
        <f>Acrescentar1[[#This Row],[Historico]]</f>
        <v>COMPRA</v>
      </c>
      <c r="G95" s="6">
        <f>IF(Tbl_operations[[#This Row],[Operação Bancária]]="D",Acrescentar1[[#This Row],[Valor]]/100,Acrescentar1[[#This Row],[Valor]]/100)</f>
        <v>50</v>
      </c>
      <c r="H95" t="str">
        <f>Acrescentar1[[#This Row],[Deb_Cred]]</f>
        <v>D</v>
      </c>
      <c r="I95">
        <f>IF(Tbl_operations[[#This Row],[Status]]="POUPANÇA",Controller!$H$17,0)</f>
        <v>0</v>
      </c>
      <c r="J95" t="str">
        <f>IF(Tbl_operations[[#This Row],[Operação Bancária]]="C", "ENTRADA",IF(Tbl_operations[[#This Row],[Operação Bancária]]="P","POUPANÇA","SAIDA"))</f>
        <v>SAIDA</v>
      </c>
    </row>
    <row r="96" spans="1:10" x14ac:dyDescent="0.3">
      <c r="A96" s="1">
        <f>Acrescentar1[[#This Row],[Data_Mov]]</f>
        <v>45653</v>
      </c>
      <c r="B96" s="1" t="str">
        <f>Acrescentar1[[#This Row],[Mês]]</f>
        <v>Dezembro</v>
      </c>
      <c r="C96" s="33">
        <f>Acrescentar1[[#This Row],[Ano]]</f>
        <v>2024</v>
      </c>
      <c r="D96" t="str">
        <f>VLOOKUP(Tbl_operations[[#This Row],[Categoria]],$N$3:$O$111,2,0)</f>
        <v>SALARIO</v>
      </c>
      <c r="E96" t="str">
        <f>Acrescentar1[[#This Row],[Coluna2]]</f>
        <v>SALARIO</v>
      </c>
      <c r="F96" t="str">
        <f>Acrescentar1[[#This Row],[Historico]]</f>
        <v>SALARIO</v>
      </c>
      <c r="G96" s="6">
        <f>IF(Tbl_operations[[#This Row],[Operação Bancária]]="D",Acrescentar1[[#This Row],[Valor]]/100,Acrescentar1[[#This Row],[Valor]]/100)</f>
        <v>565.71</v>
      </c>
      <c r="H96" t="str">
        <f>Acrescentar1[[#This Row],[Deb_Cred]]</f>
        <v>C</v>
      </c>
      <c r="I96">
        <f>IF(Tbl_operations[[#This Row],[Status]]="POUPANÇA",Controller!$H$17,0)</f>
        <v>0</v>
      </c>
      <c r="J96" t="str">
        <f>IF(Tbl_operations[[#This Row],[Operação Bancária]]="C", "ENTRADA",IF(Tbl_operations[[#This Row],[Operação Bancária]]="P","POUPANÇA","SAIDA"))</f>
        <v>ENTRADA</v>
      </c>
    </row>
    <row r="97" spans="1:10" x14ac:dyDescent="0.3">
      <c r="A97" s="1">
        <f>Acrescentar1[[#This Row],[Data_Mov]]</f>
        <v>45653</v>
      </c>
      <c r="B97" s="1" t="str">
        <f>Acrescentar1[[#This Row],[Mês]]</f>
        <v>Dezembro</v>
      </c>
      <c r="C97" s="33">
        <f>Acrescentar1[[#This Row],[Ano]]</f>
        <v>2024</v>
      </c>
      <c r="D97" t="str">
        <f>VLOOKUP(Tbl_operations[[#This Row],[Categoria]],$N$3:$O$111,2,0)</f>
        <v>SALDO</v>
      </c>
      <c r="E97" t="str">
        <f>Acrescentar1[[#This Row],[Coluna2]]</f>
        <v>SALDO DIA</v>
      </c>
      <c r="F97" t="str">
        <f>Acrescentar1[[#This Row],[Historico]]</f>
        <v>SALDO DIA</v>
      </c>
      <c r="G97" s="6">
        <f>IF(Tbl_operations[[#This Row],[Operação Bancária]]="D",Acrescentar1[[#This Row],[Valor]]/100,Acrescentar1[[#This Row],[Valor]]/100)</f>
        <v>0</v>
      </c>
      <c r="H97" t="str">
        <f>Acrescentar1[[#This Row],[Deb_Cred]]</f>
        <v>D</v>
      </c>
      <c r="I97">
        <f>IF(Tbl_operations[[#This Row],[Status]]="POUPANÇA",Controller!$H$17,0)</f>
        <v>0</v>
      </c>
      <c r="J97" t="str">
        <f>IF(Tbl_operations[[#This Row],[Operação Bancária]]="C", "ENTRADA",IF(Tbl_operations[[#This Row],[Operação Bancária]]="P","POUPANÇA","SAIDA"))</f>
        <v>SAIDA</v>
      </c>
    </row>
    <row r="98" spans="1:10" x14ac:dyDescent="0.3">
      <c r="A98" s="1">
        <f>Acrescentar1[[#This Row],[Data_Mov]]</f>
        <v>45656</v>
      </c>
      <c r="B98" s="1" t="str">
        <f>Acrescentar1[[#This Row],[Mês]]</f>
        <v>Dezembro</v>
      </c>
      <c r="C98" s="33">
        <f>Acrescentar1[[#This Row],[Ano]]</f>
        <v>2024</v>
      </c>
      <c r="D98" t="str">
        <f>VLOOKUP(Tbl_operations[[#This Row],[Categoria]],$N$3:$O$111,2,0)</f>
        <v>IRPF</v>
      </c>
      <c r="E98" t="str">
        <f>Acrescentar1[[#This Row],[Coluna2]]</f>
        <v>DEB IRPF</v>
      </c>
      <c r="F98" t="str">
        <f>Acrescentar1[[#This Row],[Historico]]</f>
        <v>DEB IRPF</v>
      </c>
      <c r="G98" s="6">
        <f>IF(Tbl_operations[[#This Row],[Operação Bancária]]="D",Acrescentar1[[#This Row],[Valor]]/100,Acrescentar1[[#This Row],[Valor]]/100)</f>
        <v>56.25</v>
      </c>
      <c r="H98" t="str">
        <f>Acrescentar1[[#This Row],[Deb_Cred]]</f>
        <v>D</v>
      </c>
      <c r="I98">
        <f>IF(Tbl_operations[[#This Row],[Status]]="POUPANÇA",Controller!$H$17,0)</f>
        <v>0</v>
      </c>
      <c r="J98" t="str">
        <f>IF(Tbl_operations[[#This Row],[Operação Bancária]]="C", "ENTRADA",IF(Tbl_operations[[#This Row],[Operação Bancária]]="P","POUPANÇA","SAIDA"))</f>
        <v>SAIDA</v>
      </c>
    </row>
    <row r="99" spans="1:10" x14ac:dyDescent="0.3">
      <c r="A99" s="1">
        <f>Acrescentar1[[#This Row],[Data_Mov]]</f>
        <v>45656</v>
      </c>
      <c r="B99" s="1" t="str">
        <f>Acrescentar1[[#This Row],[Mês]]</f>
        <v>Dezembro</v>
      </c>
      <c r="C99" s="33">
        <f>Acrescentar1[[#This Row],[Ano]]</f>
        <v>2024</v>
      </c>
      <c r="D99" t="str">
        <f>VLOOKUP(Tbl_operations[[#This Row],[Categoria]],$N$3:$O$111,2,0)</f>
        <v>PAI-DIRCE</v>
      </c>
      <c r="E99" t="str">
        <f>Acrescentar1[[#This Row],[Coluna2]]</f>
        <v>ENVIO PIX</v>
      </c>
      <c r="F99" t="str">
        <f>Acrescentar1[[#This Row],[Historico]]</f>
        <v>ENVIO PIX</v>
      </c>
      <c r="G99" s="6">
        <f>IF(Tbl_operations[[#This Row],[Operação Bancária]]="D",Acrescentar1[[#This Row],[Valor]]/100,Acrescentar1[[#This Row],[Valor]]/100)</f>
        <v>118</v>
      </c>
      <c r="H99" t="str">
        <f>Acrescentar1[[#This Row],[Deb_Cred]]</f>
        <v>D</v>
      </c>
      <c r="I99">
        <f>IF(Tbl_operations[[#This Row],[Status]]="POUPANÇA",Controller!$H$17,0)</f>
        <v>0</v>
      </c>
      <c r="J99" t="str">
        <f>IF(Tbl_operations[[#This Row],[Operação Bancária]]="C", "ENTRADA",IF(Tbl_operations[[#This Row],[Operação Bancária]]="P","POUPANÇA","SAIDA"))</f>
        <v>SAIDA</v>
      </c>
    </row>
    <row r="100" spans="1:10" x14ac:dyDescent="0.3">
      <c r="A100" s="1">
        <f>Acrescentar1[[#This Row],[Data_Mov]]</f>
        <v>45656</v>
      </c>
      <c r="B100" s="1" t="str">
        <f>Acrescentar1[[#This Row],[Mês]]</f>
        <v>Dezembro</v>
      </c>
      <c r="C100" s="33">
        <f>Acrescentar1[[#This Row],[Ano]]</f>
        <v>2024</v>
      </c>
      <c r="D100" t="str">
        <f>VLOOKUP(Tbl_operations[[#This Row],[Categoria]],$N$3:$O$111,2,0)</f>
        <v>PET</v>
      </c>
      <c r="E100" t="str">
        <f>Acrescentar1[[#This Row],[Coluna2]]</f>
        <v>Comercialagro</v>
      </c>
      <c r="F100" t="str">
        <f>Acrescentar1[[#This Row],[Historico]]</f>
        <v>COMPRA</v>
      </c>
      <c r="G100" s="6">
        <f>IF(Tbl_operations[[#This Row],[Operação Bancária]]="D",Acrescentar1[[#This Row],[Valor]]/100,Acrescentar1[[#This Row],[Valor]]/100)</f>
        <v>10</v>
      </c>
      <c r="H100" t="str">
        <f>Acrescentar1[[#This Row],[Deb_Cred]]</f>
        <v>D</v>
      </c>
      <c r="I100">
        <f>IF(Tbl_operations[[#This Row],[Status]]="POUPANÇA",Controller!$H$17,0)</f>
        <v>0</v>
      </c>
      <c r="J100" t="str">
        <f>IF(Tbl_operations[[#This Row],[Operação Bancária]]="C", "ENTRADA",IF(Tbl_operations[[#This Row],[Operação Bancária]]="P","POUPANÇA","SAIDA"))</f>
        <v>SAIDA</v>
      </c>
    </row>
    <row r="101" spans="1:10" x14ac:dyDescent="0.3">
      <c r="A101" s="1">
        <f>Acrescentar1[[#This Row],[Data_Mov]]</f>
        <v>45656</v>
      </c>
      <c r="B101" s="1" t="str">
        <f>Acrescentar1[[#This Row],[Mês]]</f>
        <v>Dezembro</v>
      </c>
      <c r="C101" s="33">
        <f>Acrescentar1[[#This Row],[Ano]]</f>
        <v>2024</v>
      </c>
      <c r="D101" t="str">
        <f>VLOOKUP(Tbl_operations[[#This Row],[Categoria]],$N$3:$O$111,2,0)</f>
        <v>RESTAURANTE</v>
      </c>
      <c r="E101" t="str">
        <f>Acrescentar1[[#This Row],[Coluna2]]</f>
        <v>PigBom</v>
      </c>
      <c r="F101" t="str">
        <f>Acrescentar1[[#This Row],[Historico]]</f>
        <v>COMPRA</v>
      </c>
      <c r="G101" s="6">
        <f>IF(Tbl_operations[[#This Row],[Operação Bancária]]="D",Acrescentar1[[#This Row],[Valor]]/100,Acrescentar1[[#This Row],[Valor]]/100)</f>
        <v>66.510000000000005</v>
      </c>
      <c r="H101" t="str">
        <f>Acrescentar1[[#This Row],[Deb_Cred]]</f>
        <v>D</v>
      </c>
      <c r="I101">
        <f>IF(Tbl_operations[[#This Row],[Status]]="POUPANÇA",Controller!$H$17,0)</f>
        <v>0</v>
      </c>
      <c r="J101" t="str">
        <f>IF(Tbl_operations[[#This Row],[Operação Bancária]]="C", "ENTRADA",IF(Tbl_operations[[#This Row],[Operação Bancária]]="P","POUPANÇA","SAIDA"))</f>
        <v>SAIDA</v>
      </c>
    </row>
    <row r="102" spans="1:10" x14ac:dyDescent="0.3">
      <c r="A102" s="1">
        <f>Acrescentar1[[#This Row],[Data_Mov]]</f>
        <v>45656</v>
      </c>
      <c r="B102" s="1" t="str">
        <f>Acrescentar1[[#This Row],[Mês]]</f>
        <v>Dezembro</v>
      </c>
      <c r="C102" s="33">
        <f>Acrescentar1[[#This Row],[Ano]]</f>
        <v>2024</v>
      </c>
      <c r="D102" t="str">
        <f>VLOOKUP(Tbl_operations[[#This Row],[Categoria]],$N$3:$O$111,2,0)</f>
        <v>SEGURO</v>
      </c>
      <c r="E102" t="str">
        <f>Acrescentar1[[#This Row],[Coluna2]]</f>
        <v>SEG RESID</v>
      </c>
      <c r="F102" t="str">
        <f>Acrescentar1[[#This Row],[Historico]]</f>
        <v>SEG RESID</v>
      </c>
      <c r="G102" s="6">
        <f>IF(Tbl_operations[[#This Row],[Operação Bancária]]="D",Acrescentar1[[#This Row],[Valor]]/100,Acrescentar1[[#This Row],[Valor]]/100)</f>
        <v>72.17</v>
      </c>
      <c r="H102" t="str">
        <f>Acrescentar1[[#This Row],[Deb_Cred]]</f>
        <v>D</v>
      </c>
      <c r="I102">
        <f>IF(Tbl_operations[[#This Row],[Status]]="POUPANÇA",Controller!$H$17,0)</f>
        <v>0</v>
      </c>
      <c r="J102" t="str">
        <f>IF(Tbl_operations[[#This Row],[Operação Bancária]]="C", "ENTRADA",IF(Tbl_operations[[#This Row],[Operação Bancária]]="P","POUPANÇA","SAIDA"))</f>
        <v>SAIDA</v>
      </c>
    </row>
    <row r="103" spans="1:10" x14ac:dyDescent="0.3">
      <c r="A103" s="1">
        <f>Acrescentar1[[#This Row],[Data_Mov]]</f>
        <v>45656</v>
      </c>
      <c r="B103" s="1" t="str">
        <f>Acrescentar1[[#This Row],[Mês]]</f>
        <v>Dezembro</v>
      </c>
      <c r="C103" s="33">
        <f>Acrescentar1[[#This Row],[Ano]]</f>
        <v>2024</v>
      </c>
      <c r="D103" t="str">
        <f>VLOOKUP(Tbl_operations[[#This Row],[Categoria]],$N$3:$O$111,2,0)</f>
        <v>PAI-DIRCE</v>
      </c>
      <c r="E103" t="str">
        <f>Acrescentar1[[#This Row],[Coluna2]]</f>
        <v>ENVIO PIX</v>
      </c>
      <c r="F103" t="str">
        <f>Acrescentar1[[#This Row],[Historico]]</f>
        <v>ENVIO PIX</v>
      </c>
      <c r="G103" s="6">
        <f>IF(Tbl_operations[[#This Row],[Operação Bancária]]="D",Acrescentar1[[#This Row],[Valor]]/100,Acrescentar1[[#This Row],[Valor]]/100)</f>
        <v>25</v>
      </c>
      <c r="H103" t="str">
        <f>Acrescentar1[[#This Row],[Deb_Cred]]</f>
        <v>D</v>
      </c>
      <c r="I103">
        <f>IF(Tbl_operations[[#This Row],[Status]]="POUPANÇA",Controller!$H$17,0)</f>
        <v>0</v>
      </c>
      <c r="J103" t="str">
        <f>IF(Tbl_operations[[#This Row],[Operação Bancária]]="C", "ENTRADA",IF(Tbl_operations[[#This Row],[Operação Bancária]]="P","POUPANÇA","SAIDA"))</f>
        <v>SAIDA</v>
      </c>
    </row>
    <row r="104" spans="1:10" x14ac:dyDescent="0.3">
      <c r="A104" s="1">
        <f>Acrescentar1[[#This Row],[Data_Mov]]</f>
        <v>45656</v>
      </c>
      <c r="B104" s="1" t="str">
        <f>Acrescentar1[[#This Row],[Mês]]</f>
        <v>Dezembro</v>
      </c>
      <c r="C104" s="33">
        <f>Acrescentar1[[#This Row],[Ano]]</f>
        <v>2024</v>
      </c>
      <c r="D104" t="str">
        <f>VLOOKUP(Tbl_operations[[#This Row],[Categoria]],$N$3:$O$111,2,0)</f>
        <v>INVESTIMENTO</v>
      </c>
      <c r="E104" t="str">
        <f>Acrescentar1[[#This Row],[Coluna2]]</f>
        <v>APP</v>
      </c>
      <c r="F104" t="str">
        <f>Acrescentar1[[#This Row],[Historico]]</f>
        <v>APP</v>
      </c>
      <c r="G104" s="6">
        <f>IF(Tbl_operations[[#This Row],[Operação Bancária]]="D",Acrescentar1[[#This Row],[Valor]]/100,Acrescentar1[[#This Row],[Valor]]/100)</f>
        <v>10</v>
      </c>
      <c r="H104" t="str">
        <f>Acrescentar1[[#This Row],[Deb_Cred]]</f>
        <v>D</v>
      </c>
      <c r="I104">
        <f>IF(Tbl_operations[[#This Row],[Status]]="POUPANÇA",Controller!$H$17,0)</f>
        <v>0</v>
      </c>
      <c r="J104" t="str">
        <f>IF(Tbl_operations[[#This Row],[Operação Bancária]]="C", "ENTRADA",IF(Tbl_operations[[#This Row],[Operação Bancária]]="P","POUPANÇA","SAIDA"))</f>
        <v>SAIDA</v>
      </c>
    </row>
    <row r="105" spans="1:10" x14ac:dyDescent="0.3">
      <c r="A105" s="1">
        <f>Acrescentar1[[#This Row],[Data_Mov]]</f>
        <v>45656</v>
      </c>
      <c r="B105" s="1" t="str">
        <f>Acrescentar1[[#This Row],[Mês]]</f>
        <v>Dezembro</v>
      </c>
      <c r="C105" s="33">
        <f>Acrescentar1[[#This Row],[Ano]]</f>
        <v>2024</v>
      </c>
      <c r="D105" t="str">
        <f>VLOOKUP(Tbl_operations[[#This Row],[Categoria]],$N$3:$O$111,2,0)</f>
        <v>INVESTIMENTO</v>
      </c>
      <c r="E105" t="str">
        <f>Acrescentar1[[#This Row],[Coluna2]]</f>
        <v>APP</v>
      </c>
      <c r="F105" t="str">
        <f>Acrescentar1[[#This Row],[Historico]]</f>
        <v>APP</v>
      </c>
      <c r="G105" s="6">
        <f>IF(Tbl_operations[[#This Row],[Operação Bancária]]="D",Acrescentar1[[#This Row],[Valor]]/100,Acrescentar1[[#This Row],[Valor]]/100)</f>
        <v>10</v>
      </c>
      <c r="H105" t="str">
        <f>Acrescentar1[[#This Row],[Deb_Cred]]</f>
        <v>D</v>
      </c>
      <c r="I105">
        <f>IF(Tbl_operations[[#This Row],[Status]]="POUPANÇA",Controller!$H$17,0)</f>
        <v>0</v>
      </c>
      <c r="J105" t="str">
        <f>IF(Tbl_operations[[#This Row],[Operação Bancária]]="C", "ENTRADA",IF(Tbl_operations[[#This Row],[Operação Bancária]]="P","POUPANÇA","SAIDA"))</f>
        <v>SAIDA</v>
      </c>
    </row>
    <row r="106" spans="1:10" x14ac:dyDescent="0.3">
      <c r="A106" s="1">
        <f>Acrescentar1[[#This Row],[Data_Mov]]</f>
        <v>45656</v>
      </c>
      <c r="B106" s="1" t="str">
        <f>Acrescentar1[[#This Row],[Mês]]</f>
        <v>Dezembro</v>
      </c>
      <c r="C106" s="33">
        <f>Acrescentar1[[#This Row],[Ano]]</f>
        <v>2024</v>
      </c>
      <c r="D106" t="str">
        <f>VLOOKUP(Tbl_operations[[#This Row],[Categoria]],$N$3:$O$111,2,0)</f>
        <v>PAI-DIRCE</v>
      </c>
      <c r="E106" t="str">
        <f>Acrescentar1[[#This Row],[Coluna2]]</f>
        <v>ENVIO PIX</v>
      </c>
      <c r="F106" t="str">
        <f>Acrescentar1[[#This Row],[Historico]]</f>
        <v>ENVIO PIX</v>
      </c>
      <c r="G106" s="6">
        <f>IF(Tbl_operations[[#This Row],[Operação Bancária]]="D",Acrescentar1[[#This Row],[Valor]]/100,Acrescentar1[[#This Row],[Valor]]/100)</f>
        <v>180</v>
      </c>
      <c r="H106" t="str">
        <f>Acrescentar1[[#This Row],[Deb_Cred]]</f>
        <v>D</v>
      </c>
      <c r="I106">
        <f>IF(Tbl_operations[[#This Row],[Status]]="POUPANÇA",Controller!$H$17,0)</f>
        <v>0</v>
      </c>
      <c r="J106" t="str">
        <f>IF(Tbl_operations[[#This Row],[Operação Bancária]]="C", "ENTRADA",IF(Tbl_operations[[#This Row],[Operação Bancária]]="P","POUPANÇA","SAIDA"))</f>
        <v>SAIDA</v>
      </c>
    </row>
    <row r="107" spans="1:10" x14ac:dyDescent="0.3">
      <c r="A107" s="1">
        <f>Acrescentar1[[#This Row],[Data_Mov]]</f>
        <v>45656</v>
      </c>
      <c r="B107" s="1" t="str">
        <f>Acrescentar1[[#This Row],[Mês]]</f>
        <v>Dezembro</v>
      </c>
      <c r="C107" s="33">
        <f>Acrescentar1[[#This Row],[Ano]]</f>
        <v>2024</v>
      </c>
      <c r="D107" t="str">
        <f>VLOOKUP(Tbl_operations[[#This Row],[Categoria]],$N$3:$O$111,2,0)</f>
        <v>COMBUSTIVEL</v>
      </c>
      <c r="E107" t="str">
        <f>Acrescentar1[[#This Row],[Coluna2]]</f>
        <v>AutoPostoSygnus</v>
      </c>
      <c r="F107" t="str">
        <f>Acrescentar1[[#This Row],[Historico]]</f>
        <v>COMPRA</v>
      </c>
      <c r="G107" s="6">
        <f>IF(Tbl_operations[[#This Row],[Operação Bancária]]="D",Acrescentar1[[#This Row],[Valor]]/100,Acrescentar1[[#This Row],[Valor]]/100)</f>
        <v>100</v>
      </c>
      <c r="H107" t="str">
        <f>Acrescentar1[[#This Row],[Deb_Cred]]</f>
        <v>D</v>
      </c>
      <c r="I107">
        <f>IF(Tbl_operations[[#This Row],[Status]]="POUPANÇA",Controller!$H$17,0)</f>
        <v>0</v>
      </c>
      <c r="J107" t="str">
        <f>IF(Tbl_operations[[#This Row],[Operação Bancária]]="C", "ENTRADA",IF(Tbl_operations[[#This Row],[Operação Bancária]]="P","POUPANÇA","SAIDA"))</f>
        <v>SAIDA</v>
      </c>
    </row>
    <row r="108" spans="1:10" x14ac:dyDescent="0.3">
      <c r="A108" s="1">
        <f>Acrescentar1[[#This Row],[Data_Mov]]</f>
        <v>45656</v>
      </c>
      <c r="B108" s="1" t="str">
        <f>Acrescentar1[[#This Row],[Mês]]</f>
        <v>Dezembro</v>
      </c>
      <c r="C108" s="33">
        <f>Acrescentar1[[#This Row],[Ano]]</f>
        <v>2024</v>
      </c>
      <c r="D108" t="str">
        <f>VLOOKUP(Tbl_operations[[#This Row],[Categoria]],$N$3:$O$111,2,0)</f>
        <v>SALDO</v>
      </c>
      <c r="E108" t="str">
        <f>Acrescentar1[[#This Row],[Coluna2]]</f>
        <v>SALDO DIA</v>
      </c>
      <c r="F108" t="str">
        <f>Acrescentar1[[#This Row],[Historico]]</f>
        <v>SALDO DIA</v>
      </c>
      <c r="G108" s="6">
        <f>IF(Tbl_operations[[#This Row],[Operação Bancária]]="D",Acrescentar1[[#This Row],[Valor]]/100,Acrescentar1[[#This Row],[Valor]]/100)</f>
        <v>0</v>
      </c>
      <c r="H108" t="str">
        <f>Acrescentar1[[#This Row],[Deb_Cred]]</f>
        <v>D</v>
      </c>
      <c r="I108">
        <f>IF(Tbl_operations[[#This Row],[Status]]="POUPANÇA",Controller!$H$17,0)</f>
        <v>0</v>
      </c>
      <c r="J108" t="str">
        <f>IF(Tbl_operations[[#This Row],[Operação Bancária]]="C", "ENTRADA",IF(Tbl_operations[[#This Row],[Operação Bancária]]="P","POUPANÇA","SAIDA"))</f>
        <v>SAIDA</v>
      </c>
    </row>
    <row r="109" spans="1:10" x14ac:dyDescent="0.3">
      <c r="A109" s="1">
        <f>Acrescentar1[[#This Row],[Data_Mov]]</f>
        <v>45657</v>
      </c>
      <c r="B109" s="1" t="str">
        <f>Acrescentar1[[#This Row],[Mês]]</f>
        <v>Dezembro</v>
      </c>
      <c r="C109" s="33">
        <f>Acrescentar1[[#This Row],[Ano]]</f>
        <v>2024</v>
      </c>
      <c r="D109" t="str">
        <f>VLOOKUP(Tbl_operations[[#This Row],[Categoria]],$N$3:$O$111,2,0)</f>
        <v>SALDO</v>
      </c>
      <c r="E109" t="str">
        <f>Acrescentar1[[#This Row],[Coluna2]]</f>
        <v>SALDO DIA</v>
      </c>
      <c r="F109" t="str">
        <f>Acrescentar1[[#This Row],[Historico]]</f>
        <v>SALDO DIA</v>
      </c>
      <c r="G109" s="6">
        <f>IF(Tbl_operations[[#This Row],[Operação Bancária]]="D",Acrescentar1[[#This Row],[Valor]]/100,Acrescentar1[[#This Row],[Valor]]/100)</f>
        <v>0</v>
      </c>
      <c r="H109" t="str">
        <f>Acrescentar1[[#This Row],[Deb_Cred]]</f>
        <v>D</v>
      </c>
      <c r="I109">
        <f>IF(Tbl_operations[[#This Row],[Status]]="POUPANÇA",Controller!$H$17,0)</f>
        <v>0</v>
      </c>
      <c r="J109" t="str">
        <f>IF(Tbl_operations[[#This Row],[Operação Bancária]]="C", "ENTRADA",IF(Tbl_operations[[#This Row],[Operação Bancária]]="P","POUPANÇA","SAIDA"))</f>
        <v>SAIDA</v>
      </c>
    </row>
    <row r="110" spans="1:10" x14ac:dyDescent="0.3">
      <c r="A110" s="1">
        <f>Acrescentar1[[#This Row],[Data_Mov]]</f>
        <v>45659</v>
      </c>
      <c r="B110" s="1" t="str">
        <f>Acrescentar1[[#This Row],[Mês]]</f>
        <v>Janeiro</v>
      </c>
      <c r="C110" s="33">
        <f>Acrescentar1[[#This Row],[Ano]]</f>
        <v>2025</v>
      </c>
      <c r="D110" t="str">
        <f>VLOOKUP(Tbl_operations[[#This Row],[Categoria]],$N$3:$O$111,2,0)</f>
        <v>SALARIO</v>
      </c>
      <c r="E110" t="str">
        <f>Acrescentar1[[#This Row],[Coluna2]]</f>
        <v>CR RG POUP</v>
      </c>
      <c r="F110" t="str">
        <f>Acrescentar1[[#This Row],[Historico]]</f>
        <v>CR RG POUP</v>
      </c>
      <c r="G110" s="6">
        <f>IF(Tbl_operations[[#This Row],[Operação Bancária]]="D",Acrescentar1[[#This Row],[Valor]]/100,Acrescentar1[[#This Row],[Valor]]/100)</f>
        <v>400</v>
      </c>
      <c r="H110" t="str">
        <f>Acrescentar1[[#This Row],[Deb_Cred]]</f>
        <v>C</v>
      </c>
      <c r="I110">
        <f>IF(Tbl_operations[[#This Row],[Status]]="POUPANÇA",Controller!$H$17,0)</f>
        <v>0</v>
      </c>
      <c r="J110" t="str">
        <f>IF(Tbl_operations[[#This Row],[Operação Bancária]]="C", "ENTRADA",IF(Tbl_operations[[#This Row],[Operação Bancária]]="P","POUPANÇA","SAIDA"))</f>
        <v>ENTRADA</v>
      </c>
    </row>
    <row r="111" spans="1:10" x14ac:dyDescent="0.3">
      <c r="A111" s="1">
        <f>Acrescentar1[[#This Row],[Data_Mov]]</f>
        <v>45659</v>
      </c>
      <c r="B111" s="1" t="str">
        <f>Acrescentar1[[#This Row],[Mês]]</f>
        <v>Janeiro</v>
      </c>
      <c r="C111" s="33">
        <f>Acrescentar1[[#This Row],[Ano]]</f>
        <v>2025</v>
      </c>
      <c r="D111" t="str">
        <f>VLOOKUP(Tbl_operations[[#This Row],[Categoria]],$N$3:$O$111,2,0)</f>
        <v>PAI-DIRCE</v>
      </c>
      <c r="E111" t="str">
        <f>Acrescentar1[[#This Row],[Coluna2]]</f>
        <v>ENVIO PIX</v>
      </c>
      <c r="F111" t="str">
        <f>Acrescentar1[[#This Row],[Historico]]</f>
        <v>ENVIO PIX</v>
      </c>
      <c r="G111" s="6">
        <f>IF(Tbl_operations[[#This Row],[Operação Bancária]]="D",Acrescentar1[[#This Row],[Valor]]/100,Acrescentar1[[#This Row],[Valor]]/100)</f>
        <v>28</v>
      </c>
      <c r="H111" t="str">
        <f>Acrescentar1[[#This Row],[Deb_Cred]]</f>
        <v>D</v>
      </c>
      <c r="I111">
        <f>IF(Tbl_operations[[#This Row],[Status]]="POUPANÇA",Controller!$H$17,0)</f>
        <v>0</v>
      </c>
      <c r="J111" t="str">
        <f>IF(Tbl_operations[[#This Row],[Operação Bancária]]="C", "ENTRADA",IF(Tbl_operations[[#This Row],[Operação Bancária]]="P","POUPANÇA","SAIDA"))</f>
        <v>SAIDA</v>
      </c>
    </row>
    <row r="112" spans="1:10" x14ac:dyDescent="0.3">
      <c r="A112" s="1">
        <f>Acrescentar1[[#This Row],[Data_Mov]]</f>
        <v>45659</v>
      </c>
      <c r="B112" s="1" t="str">
        <f>Acrescentar1[[#This Row],[Mês]]</f>
        <v>Janeiro</v>
      </c>
      <c r="C112" s="33">
        <f>Acrescentar1[[#This Row],[Ano]]</f>
        <v>2025</v>
      </c>
      <c r="D112" t="str">
        <f>VLOOKUP(Tbl_operations[[#This Row],[Categoria]],$N$3:$O$111,2,0)</f>
        <v>DEPOSITO</v>
      </c>
      <c r="E112" t="str">
        <f>Acrescentar1[[#This Row],[Coluna2]]</f>
        <v>DEP DIN AG</v>
      </c>
      <c r="F112" t="str">
        <f>Acrescentar1[[#This Row],[Historico]]</f>
        <v>DEP DIN AG</v>
      </c>
      <c r="G112" s="6">
        <f>IF(Tbl_operations[[#This Row],[Operação Bancária]]="D",Acrescentar1[[#This Row],[Valor]]/100,Acrescentar1[[#This Row],[Valor]]/100)</f>
        <v>75</v>
      </c>
      <c r="H112" t="str">
        <f>Acrescentar1[[#This Row],[Deb_Cred]]</f>
        <v>C</v>
      </c>
      <c r="I112">
        <f>IF(Tbl_operations[[#This Row],[Status]]="POUPANÇA",Controller!$H$17,0)</f>
        <v>0</v>
      </c>
      <c r="J112" t="str">
        <f>IF(Tbl_operations[[#This Row],[Operação Bancária]]="C", "ENTRADA",IF(Tbl_operations[[#This Row],[Operação Bancária]]="P","POUPANÇA","SAIDA"))</f>
        <v>ENTRADA</v>
      </c>
    </row>
    <row r="113" spans="1:10" x14ac:dyDescent="0.3">
      <c r="A113" s="1">
        <f>Acrescentar1[[#This Row],[Data_Mov]]</f>
        <v>45659</v>
      </c>
      <c r="B113" s="1" t="str">
        <f>Acrescentar1[[#This Row],[Mês]]</f>
        <v>Janeiro</v>
      </c>
      <c r="C113" s="33">
        <f>Acrescentar1[[#This Row],[Ano]]</f>
        <v>2025</v>
      </c>
      <c r="D113" t="str">
        <f>VLOOKUP(Tbl_operations[[#This Row],[Categoria]],$N$3:$O$111,2,0)</f>
        <v>TX_JUROS-IOF</v>
      </c>
      <c r="E113" t="str">
        <f>Acrescentar1[[#This Row],[Coluna2]]</f>
        <v>DEB IOF</v>
      </c>
      <c r="F113" t="str">
        <f>Acrescentar1[[#This Row],[Historico]]</f>
        <v>DEB IOF</v>
      </c>
      <c r="G113" s="6">
        <f>IF(Tbl_operations[[#This Row],[Operação Bancária]]="D",Acrescentar1[[#This Row],[Valor]]/100,Acrescentar1[[#This Row],[Valor]]/100)</f>
        <v>10.83</v>
      </c>
      <c r="H113" t="str">
        <f>Acrescentar1[[#This Row],[Deb_Cred]]</f>
        <v>D</v>
      </c>
      <c r="I113">
        <f>IF(Tbl_operations[[#This Row],[Status]]="POUPANÇA",Controller!$H$17,0)</f>
        <v>0</v>
      </c>
      <c r="J113" t="str">
        <f>IF(Tbl_operations[[#This Row],[Operação Bancária]]="C", "ENTRADA",IF(Tbl_operations[[#This Row],[Operação Bancária]]="P","POUPANÇA","SAIDA"))</f>
        <v>SAIDA</v>
      </c>
    </row>
    <row r="114" spans="1:10" x14ac:dyDescent="0.3">
      <c r="A114" s="1">
        <f>Acrescentar1[[#This Row],[Data_Mov]]</f>
        <v>45659</v>
      </c>
      <c r="B114" s="1" t="str">
        <f>Acrescentar1[[#This Row],[Mês]]</f>
        <v>Janeiro</v>
      </c>
      <c r="C114" s="33">
        <f>Acrescentar1[[#This Row],[Ano]]</f>
        <v>2025</v>
      </c>
      <c r="D114" t="str">
        <f>VLOOKUP(Tbl_operations[[#This Row],[Categoria]],$N$3:$O$111,2,0)</f>
        <v>TX_JUROS-IOF</v>
      </c>
      <c r="E114" t="str">
        <f>Acrescentar1[[#This Row],[Coluna2]]</f>
        <v>DEB JUROS</v>
      </c>
      <c r="F114" t="str">
        <f>Acrescentar1[[#This Row],[Historico]]</f>
        <v>DEB JUROS</v>
      </c>
      <c r="G114" s="6">
        <f>IF(Tbl_operations[[#This Row],[Operação Bancária]]="D",Acrescentar1[[#This Row],[Valor]]/100,Acrescentar1[[#This Row],[Valor]]/100)</f>
        <v>31.22</v>
      </c>
      <c r="H114" t="str">
        <f>Acrescentar1[[#This Row],[Deb_Cred]]</f>
        <v>D</v>
      </c>
      <c r="I114">
        <f>IF(Tbl_operations[[#This Row],[Status]]="POUPANÇA",Controller!$H$17,0)</f>
        <v>0</v>
      </c>
      <c r="J114" t="str">
        <f>IF(Tbl_operations[[#This Row],[Operação Bancária]]="C", "ENTRADA",IF(Tbl_operations[[#This Row],[Operação Bancária]]="P","POUPANÇA","SAIDA"))</f>
        <v>SAIDA</v>
      </c>
    </row>
    <row r="115" spans="1:10" x14ac:dyDescent="0.3">
      <c r="A115" s="1">
        <f>Acrescentar1[[#This Row],[Data_Mov]]</f>
        <v>45659</v>
      </c>
      <c r="B115" s="1" t="str">
        <f>Acrescentar1[[#This Row],[Mês]]</f>
        <v>Janeiro</v>
      </c>
      <c r="C115" s="33">
        <f>Acrescentar1[[#This Row],[Ano]]</f>
        <v>2025</v>
      </c>
      <c r="D115" t="str">
        <f>VLOOKUP(Tbl_operations[[#This Row],[Categoria]],$N$3:$O$111,2,0)</f>
        <v>SALDO</v>
      </c>
      <c r="E115" t="str">
        <f>Acrescentar1[[#This Row],[Coluna2]]</f>
        <v>SALDO DIA</v>
      </c>
      <c r="F115" t="str">
        <f>Acrescentar1[[#This Row],[Historico]]</f>
        <v>SALDO DIA</v>
      </c>
      <c r="G115" s="6">
        <f>IF(Tbl_operations[[#This Row],[Operação Bancária]]="D",Acrescentar1[[#This Row],[Valor]]/100,Acrescentar1[[#This Row],[Valor]]/100)</f>
        <v>0</v>
      </c>
      <c r="H115" t="str">
        <f>Acrescentar1[[#This Row],[Deb_Cred]]</f>
        <v>D</v>
      </c>
      <c r="I115">
        <f>IF(Tbl_operations[[#This Row],[Status]]="POUPANÇA",Controller!$H$17,0)</f>
        <v>0</v>
      </c>
      <c r="J115" t="str">
        <f>IF(Tbl_operations[[#This Row],[Operação Bancária]]="C", "ENTRADA",IF(Tbl_operations[[#This Row],[Operação Bancária]]="P","POUPANÇA","SAIDA"))</f>
        <v>SAIDA</v>
      </c>
    </row>
    <row r="116" spans="1:10" x14ac:dyDescent="0.3">
      <c r="A116" s="1">
        <f>Acrescentar1[[#This Row],[Data_Mov]]</f>
        <v>45597</v>
      </c>
      <c r="B116" s="1" t="str">
        <f>Acrescentar1[[#This Row],[Mês]]</f>
        <v>Novembro</v>
      </c>
      <c r="C116" s="33">
        <f>Acrescentar1[[#This Row],[Ano]]</f>
        <v>2024</v>
      </c>
      <c r="D116" t="str">
        <f>VLOOKUP(Tbl_operations[[#This Row],[Categoria]],$N$3:$O$111,2,0)</f>
        <v>PART JLF</v>
      </c>
      <c r="E116" t="str">
        <f>Acrescentar1[[#This Row],[Coluna2]]</f>
        <v>CRED PIX</v>
      </c>
      <c r="F116" t="str">
        <f>Acrescentar1[[#This Row],[Historico]]</f>
        <v>CRED PIX</v>
      </c>
      <c r="G116" s="6">
        <f>IF(Tbl_operations[[#This Row],[Operação Bancária]]="D",Acrescentar1[[#This Row],[Valor]]/100,Acrescentar1[[#This Row],[Valor]]/100)</f>
        <v>170</v>
      </c>
      <c r="H116" t="str">
        <f>Acrescentar1[[#This Row],[Deb_Cred]]</f>
        <v>C</v>
      </c>
      <c r="I116">
        <f>IF(Tbl_operations[[#This Row],[Status]]="POUPANÇA",Controller!$H$17,0)</f>
        <v>0</v>
      </c>
      <c r="J116" t="str">
        <f>IF(Tbl_operations[[#This Row],[Operação Bancária]]="C", "ENTRADA",IF(Tbl_operations[[#This Row],[Operação Bancária]]="P","POUPANÇA","SAIDA"))</f>
        <v>ENTRADA</v>
      </c>
    </row>
    <row r="117" spans="1:10" x14ac:dyDescent="0.3">
      <c r="A117" s="1">
        <f>Acrescentar1[[#This Row],[Data_Mov]]</f>
        <v>45597</v>
      </c>
      <c r="B117" s="1" t="str">
        <f>Acrescentar1[[#This Row],[Mês]]</f>
        <v>Novembro</v>
      </c>
      <c r="C117" s="33">
        <f>Acrescentar1[[#This Row],[Ano]]</f>
        <v>2024</v>
      </c>
      <c r="D117" t="str">
        <f>VLOOKUP(Tbl_operations[[#This Row],[Categoria]],$N$3:$O$111,2,0)</f>
        <v>TX_JUROS-IOF</v>
      </c>
      <c r="E117" t="str">
        <f>Acrescentar1[[#This Row],[Coluna2]]</f>
        <v>DEB IOF</v>
      </c>
      <c r="F117" t="str">
        <f>Acrescentar1[[#This Row],[Historico]]</f>
        <v>DEB IOF</v>
      </c>
      <c r="G117" s="6">
        <f>IF(Tbl_operations[[#This Row],[Operação Bancária]]="D",Acrescentar1[[#This Row],[Valor]]/100,Acrescentar1[[#This Row],[Valor]]/100)</f>
        <v>6.77</v>
      </c>
      <c r="H117" t="str">
        <f>Acrescentar1[[#This Row],[Deb_Cred]]</f>
        <v>D</v>
      </c>
      <c r="I117">
        <f>IF(Tbl_operations[[#This Row],[Status]]="POUPANÇA",Controller!$H$17,0)</f>
        <v>0</v>
      </c>
      <c r="J117" t="str">
        <f>IF(Tbl_operations[[#This Row],[Operação Bancária]]="C", "ENTRADA",IF(Tbl_operations[[#This Row],[Operação Bancária]]="P","POUPANÇA","SAIDA"))</f>
        <v>SAIDA</v>
      </c>
    </row>
    <row r="118" spans="1:10" x14ac:dyDescent="0.3">
      <c r="A118" s="1">
        <f>Acrescentar1[[#This Row],[Data_Mov]]</f>
        <v>45597</v>
      </c>
      <c r="B118" s="1" t="str">
        <f>Acrescentar1[[#This Row],[Mês]]</f>
        <v>Novembro</v>
      </c>
      <c r="C118" s="33">
        <f>Acrescentar1[[#This Row],[Ano]]</f>
        <v>2024</v>
      </c>
      <c r="D118" t="str">
        <f>VLOOKUP(Tbl_operations[[#This Row],[Categoria]],$N$3:$O$111,2,0)</f>
        <v>TX_JUROS-IOF</v>
      </c>
      <c r="E118" t="str">
        <f>Acrescentar1[[#This Row],[Coluna2]]</f>
        <v>DEB JUROS</v>
      </c>
      <c r="F118" t="str">
        <f>Acrescentar1[[#This Row],[Historico]]</f>
        <v>DEB JUROS</v>
      </c>
      <c r="G118" s="6">
        <f>IF(Tbl_operations[[#This Row],[Operação Bancária]]="D",Acrescentar1[[#This Row],[Valor]]/100,Acrescentar1[[#This Row],[Valor]]/100)</f>
        <v>52.12</v>
      </c>
      <c r="H118" t="str">
        <f>Acrescentar1[[#This Row],[Deb_Cred]]</f>
        <v>D</v>
      </c>
      <c r="I118">
        <f>IF(Tbl_operations[[#This Row],[Status]]="POUPANÇA",Controller!$H$17,0)</f>
        <v>0</v>
      </c>
      <c r="J118" t="str">
        <f>IF(Tbl_operations[[#This Row],[Operação Bancária]]="C", "ENTRADA",IF(Tbl_operations[[#This Row],[Operação Bancária]]="P","POUPANÇA","SAIDA"))</f>
        <v>SAIDA</v>
      </c>
    </row>
    <row r="119" spans="1:10" x14ac:dyDescent="0.3">
      <c r="A119" s="1">
        <f>Acrescentar1[[#This Row],[Data_Mov]]</f>
        <v>45597</v>
      </c>
      <c r="B119" s="1" t="str">
        <f>Acrescentar1[[#This Row],[Mês]]</f>
        <v>Novembro</v>
      </c>
      <c r="C119" s="33">
        <f>Acrescentar1[[#This Row],[Ano]]</f>
        <v>2024</v>
      </c>
      <c r="D119" t="str">
        <f>VLOOKUP(Tbl_operations[[#This Row],[Categoria]],$N$3:$O$111,2,0)</f>
        <v>SALDO</v>
      </c>
      <c r="E119" t="str">
        <f>Acrescentar1[[#This Row],[Coluna2]]</f>
        <v>SALDO DIA</v>
      </c>
      <c r="F119" t="str">
        <f>Acrescentar1[[#This Row],[Historico]]</f>
        <v>SALDO DIA</v>
      </c>
      <c r="G119" s="6">
        <f>IF(Tbl_operations[[#This Row],[Operação Bancária]]="D",Acrescentar1[[#This Row],[Valor]]/100,Acrescentar1[[#This Row],[Valor]]/100)</f>
        <v>0</v>
      </c>
      <c r="H119" t="str">
        <f>Acrescentar1[[#This Row],[Deb_Cred]]</f>
        <v>D</v>
      </c>
      <c r="I119">
        <f>IF(Tbl_operations[[#This Row],[Status]]="POUPANÇA",Controller!$H$17,0)</f>
        <v>0</v>
      </c>
      <c r="J119" t="str">
        <f>IF(Tbl_operations[[#This Row],[Operação Bancária]]="C", "ENTRADA",IF(Tbl_operations[[#This Row],[Operação Bancária]]="P","POUPANÇA","SAIDA"))</f>
        <v>SAIDA</v>
      </c>
    </row>
    <row r="120" spans="1:10" x14ac:dyDescent="0.3">
      <c r="A120" s="1">
        <f>Acrescentar1[[#This Row],[Data_Mov]]</f>
        <v>45600</v>
      </c>
      <c r="B120" s="1" t="str">
        <f>Acrescentar1[[#This Row],[Mês]]</f>
        <v>Novembro</v>
      </c>
      <c r="C120" s="33">
        <f>Acrescentar1[[#This Row],[Ano]]</f>
        <v>2024</v>
      </c>
      <c r="D120" t="str">
        <f>VLOOKUP(Tbl_operations[[#This Row],[Categoria]],$N$3:$O$111,2,0)</f>
        <v>PAI-DIRCE</v>
      </c>
      <c r="E120" t="str">
        <f>Acrescentar1[[#This Row],[Coluna2]]</f>
        <v>ENVIO PIX</v>
      </c>
      <c r="F120" t="str">
        <f>Acrescentar1[[#This Row],[Historico]]</f>
        <v>ENVIO PIX</v>
      </c>
      <c r="G120" s="6">
        <f>IF(Tbl_operations[[#This Row],[Operação Bancária]]="D",Acrescentar1[[#This Row],[Valor]]/100,Acrescentar1[[#This Row],[Valor]]/100)</f>
        <v>85</v>
      </c>
      <c r="H120" t="str">
        <f>Acrescentar1[[#This Row],[Deb_Cred]]</f>
        <v>D</v>
      </c>
      <c r="I120">
        <f>IF(Tbl_operations[[#This Row],[Status]]="POUPANÇA",Controller!$H$17,0)</f>
        <v>0</v>
      </c>
      <c r="J120" t="str">
        <f>IF(Tbl_operations[[#This Row],[Operação Bancária]]="C", "ENTRADA",IF(Tbl_operations[[#This Row],[Operação Bancária]]="P","POUPANÇA","SAIDA"))</f>
        <v>SAIDA</v>
      </c>
    </row>
    <row r="121" spans="1:10" x14ac:dyDescent="0.3">
      <c r="A121" s="1">
        <f>Acrescentar1[[#This Row],[Data_Mov]]</f>
        <v>45600</v>
      </c>
      <c r="B121" s="1" t="str">
        <f>Acrescentar1[[#This Row],[Mês]]</f>
        <v>Novembro</v>
      </c>
      <c r="C121" s="33">
        <f>Acrescentar1[[#This Row],[Ano]]</f>
        <v>2024</v>
      </c>
      <c r="D121" t="str">
        <f>VLOOKUP(Tbl_operations[[#This Row],[Categoria]],$N$3:$O$111,2,0)</f>
        <v>COMBUSTIVEL</v>
      </c>
      <c r="E121" t="str">
        <f>Acrescentar1[[#This Row],[Coluna2]]</f>
        <v>PParada</v>
      </c>
      <c r="F121" t="str">
        <f>Acrescentar1[[#This Row],[Historico]]</f>
        <v>COMPRA</v>
      </c>
      <c r="G121" s="6">
        <f>IF(Tbl_operations[[#This Row],[Operação Bancária]]="D",Acrescentar1[[#This Row],[Valor]]/100,Acrescentar1[[#This Row],[Valor]]/100)</f>
        <v>70</v>
      </c>
      <c r="H121" t="str">
        <f>Acrescentar1[[#This Row],[Deb_Cred]]</f>
        <v>D</v>
      </c>
      <c r="I121">
        <f>IF(Tbl_operations[[#This Row],[Status]]="POUPANÇA",Controller!$H$17,0)</f>
        <v>0</v>
      </c>
      <c r="J121" t="str">
        <f>IF(Tbl_operations[[#This Row],[Operação Bancária]]="C", "ENTRADA",IF(Tbl_operations[[#This Row],[Operação Bancária]]="P","POUPANÇA","SAIDA"))</f>
        <v>SAIDA</v>
      </c>
    </row>
    <row r="122" spans="1:10" x14ac:dyDescent="0.3">
      <c r="A122" s="1">
        <f>Acrescentar1[[#This Row],[Data_Mov]]</f>
        <v>45600</v>
      </c>
      <c r="B122" s="1" t="str">
        <f>Acrescentar1[[#This Row],[Mês]]</f>
        <v>Novembro</v>
      </c>
      <c r="C122" s="33">
        <f>Acrescentar1[[#This Row],[Ano]]</f>
        <v>2024</v>
      </c>
      <c r="D122" t="str">
        <f>VLOOKUP(Tbl_operations[[#This Row],[Categoria]],$N$3:$O$111,2,0)</f>
        <v>SALDO</v>
      </c>
      <c r="E122" t="str">
        <f>Acrescentar1[[#This Row],[Coluna2]]</f>
        <v>SALDO DIA</v>
      </c>
      <c r="F122" t="str">
        <f>Acrescentar1[[#This Row],[Historico]]</f>
        <v>SALDO DIA</v>
      </c>
      <c r="G122" s="6">
        <f>IF(Tbl_operations[[#This Row],[Operação Bancária]]="D",Acrescentar1[[#This Row],[Valor]]/100,Acrescentar1[[#This Row],[Valor]]/100)</f>
        <v>0</v>
      </c>
      <c r="H122" t="str">
        <f>Acrescentar1[[#This Row],[Deb_Cred]]</f>
        <v>D</v>
      </c>
      <c r="I122">
        <f>IF(Tbl_operations[[#This Row],[Status]]="POUPANÇA",Controller!$H$17,0)</f>
        <v>0</v>
      </c>
      <c r="J122" t="str">
        <f>IF(Tbl_operations[[#This Row],[Operação Bancária]]="C", "ENTRADA",IF(Tbl_operations[[#This Row],[Operação Bancária]]="P","POUPANÇA","SAIDA"))</f>
        <v>SAIDA</v>
      </c>
    </row>
    <row r="123" spans="1:10" x14ac:dyDescent="0.3">
      <c r="A123" s="1">
        <f>Acrescentar1[[#This Row],[Data_Mov]]</f>
        <v>45601</v>
      </c>
      <c r="B123" s="1" t="str">
        <f>Acrescentar1[[#This Row],[Mês]]</f>
        <v>Novembro</v>
      </c>
      <c r="C123" s="33">
        <f>Acrescentar1[[#This Row],[Ano]]</f>
        <v>2024</v>
      </c>
      <c r="D123" t="str">
        <f>VLOOKUP(Tbl_operations[[#This Row],[Categoria]],$N$3:$O$111,2,0)</f>
        <v>SALDO</v>
      </c>
      <c r="E123" t="str">
        <f>Acrescentar1[[#This Row],[Coluna2]]</f>
        <v>SALDO DIA</v>
      </c>
      <c r="F123" t="str">
        <f>Acrescentar1[[#This Row],[Historico]]</f>
        <v>SALDO DIA</v>
      </c>
      <c r="G123" s="6">
        <f>IF(Tbl_operations[[#This Row],[Operação Bancária]]="D",Acrescentar1[[#This Row],[Valor]]/100,Acrescentar1[[#This Row],[Valor]]/100)</f>
        <v>0</v>
      </c>
      <c r="H123" t="str">
        <f>Acrescentar1[[#This Row],[Deb_Cred]]</f>
        <v>D</v>
      </c>
      <c r="I123">
        <f>IF(Tbl_operations[[#This Row],[Status]]="POUPANÇA",Controller!$H$17,0)</f>
        <v>0</v>
      </c>
      <c r="J123" t="str">
        <f>IF(Tbl_operations[[#This Row],[Operação Bancária]]="C", "ENTRADA",IF(Tbl_operations[[#This Row],[Operação Bancária]]="P","POUPANÇA","SAIDA"))</f>
        <v>SAIDA</v>
      </c>
    </row>
    <row r="124" spans="1:10" x14ac:dyDescent="0.3">
      <c r="A124" s="1">
        <f>Acrescentar1[[#This Row],[Data_Mov]]</f>
        <v>45602</v>
      </c>
      <c r="B124" s="1" t="str">
        <f>Acrescentar1[[#This Row],[Mês]]</f>
        <v>Novembro</v>
      </c>
      <c r="C124" s="33">
        <f>Acrescentar1[[#This Row],[Ano]]</f>
        <v>2024</v>
      </c>
      <c r="D124" t="str">
        <f>VLOOKUP(Tbl_operations[[#This Row],[Categoria]],$N$3:$O$111,2,0)</f>
        <v>PART JLF</v>
      </c>
      <c r="E124" t="str">
        <f>Acrescentar1[[#This Row],[Coluna2]]</f>
        <v>CRED PIX</v>
      </c>
      <c r="F124" t="str">
        <f>Acrescentar1[[#This Row],[Historico]]</f>
        <v>CRED PIX</v>
      </c>
      <c r="G124" s="6">
        <f>IF(Tbl_operations[[#This Row],[Operação Bancária]]="D",Acrescentar1[[#This Row],[Valor]]/100,Acrescentar1[[#This Row],[Valor]]/100)</f>
        <v>150</v>
      </c>
      <c r="H124" t="str">
        <f>Acrescentar1[[#This Row],[Deb_Cred]]</f>
        <v>C</v>
      </c>
      <c r="I124">
        <f>IF(Tbl_operations[[#This Row],[Status]]="POUPANÇA",Controller!$H$17,0)</f>
        <v>0</v>
      </c>
      <c r="J124" t="str">
        <f>IF(Tbl_operations[[#This Row],[Operação Bancária]]="C", "ENTRADA",IF(Tbl_operations[[#This Row],[Operação Bancária]]="P","POUPANÇA","SAIDA"))</f>
        <v>ENTRADA</v>
      </c>
    </row>
    <row r="125" spans="1:10" x14ac:dyDescent="0.3">
      <c r="A125" s="1">
        <f>Acrescentar1[[#This Row],[Data_Mov]]</f>
        <v>45602</v>
      </c>
      <c r="B125" s="1" t="str">
        <f>Acrescentar1[[#This Row],[Mês]]</f>
        <v>Novembro</v>
      </c>
      <c r="C125" s="33">
        <f>Acrescentar1[[#This Row],[Ano]]</f>
        <v>2024</v>
      </c>
      <c r="D125" t="str">
        <f>VLOOKUP(Tbl_operations[[#This Row],[Categoria]],$N$3:$O$111,2,0)</f>
        <v>SALDO</v>
      </c>
      <c r="E125" t="str">
        <f>Acrescentar1[[#This Row],[Coluna2]]</f>
        <v>SALDO DIA</v>
      </c>
      <c r="F125" t="str">
        <f>Acrescentar1[[#This Row],[Historico]]</f>
        <v>SALDO DIA</v>
      </c>
      <c r="G125" s="6">
        <f>IF(Tbl_operations[[#This Row],[Operação Bancária]]="D",Acrescentar1[[#This Row],[Valor]]/100,Acrescentar1[[#This Row],[Valor]]/100)</f>
        <v>0</v>
      </c>
      <c r="H125" t="str">
        <f>Acrescentar1[[#This Row],[Deb_Cred]]</f>
        <v>D</v>
      </c>
      <c r="I125">
        <f>IF(Tbl_operations[[#This Row],[Status]]="POUPANÇA",Controller!$H$17,0)</f>
        <v>0</v>
      </c>
      <c r="J125" t="str">
        <f>IF(Tbl_operations[[#This Row],[Operação Bancária]]="C", "ENTRADA",IF(Tbl_operations[[#This Row],[Operação Bancária]]="P","POUPANÇA","SAIDA"))</f>
        <v>SAIDA</v>
      </c>
    </row>
    <row r="126" spans="1:10" x14ac:dyDescent="0.3">
      <c r="A126" s="1">
        <f>Acrescentar1[[#This Row],[Data_Mov]]</f>
        <v>45603</v>
      </c>
      <c r="B126" s="1" t="str">
        <f>Acrescentar1[[#This Row],[Mês]]</f>
        <v>Novembro</v>
      </c>
      <c r="C126" s="33">
        <f>Acrescentar1[[#This Row],[Ano]]</f>
        <v>2024</v>
      </c>
      <c r="D126" t="str">
        <f>VLOOKUP(Tbl_operations[[#This Row],[Categoria]],$N$3:$O$111,2,0)</f>
        <v>SUPERMERCADO</v>
      </c>
      <c r="E126" t="str">
        <f>Acrescentar1[[#This Row],[Coluna2]]</f>
        <v>DIA FRANQUIA LJ 9</v>
      </c>
      <c r="F126" t="str">
        <f>Acrescentar1[[#This Row],[Historico]]</f>
        <v>COMPRA</v>
      </c>
      <c r="G126" s="6">
        <f>IF(Tbl_operations[[#This Row],[Operação Bancária]]="D",Acrescentar1[[#This Row],[Valor]]/100,Acrescentar1[[#This Row],[Valor]]/100)</f>
        <v>26</v>
      </c>
      <c r="H126" t="str">
        <f>Acrescentar1[[#This Row],[Deb_Cred]]</f>
        <v>D</v>
      </c>
      <c r="I126">
        <f>IF(Tbl_operations[[#This Row],[Status]]="POUPANÇA",Controller!$H$17,0)</f>
        <v>0</v>
      </c>
      <c r="J126" t="str">
        <f>IF(Tbl_operations[[#This Row],[Operação Bancária]]="C", "ENTRADA",IF(Tbl_operations[[#This Row],[Operação Bancária]]="P","POUPANÇA","SAIDA"))</f>
        <v>SAIDA</v>
      </c>
    </row>
    <row r="127" spans="1:10" x14ac:dyDescent="0.3">
      <c r="A127" s="1">
        <f>Acrescentar1[[#This Row],[Data_Mov]]</f>
        <v>45603</v>
      </c>
      <c r="B127" s="1" t="str">
        <f>Acrescentar1[[#This Row],[Mês]]</f>
        <v>Novembro</v>
      </c>
      <c r="C127" s="33">
        <f>Acrescentar1[[#This Row],[Ano]]</f>
        <v>2024</v>
      </c>
      <c r="D127" t="str">
        <f>VLOOKUP(Tbl_operations[[#This Row],[Categoria]],$N$3:$O$111,2,0)</f>
        <v>SALDO</v>
      </c>
      <c r="E127" t="str">
        <f>Acrescentar1[[#This Row],[Coluna2]]</f>
        <v>SALDO DIA</v>
      </c>
      <c r="F127" t="str">
        <f>Acrescentar1[[#This Row],[Historico]]</f>
        <v>SALDO DIA</v>
      </c>
      <c r="G127" s="6">
        <f>IF(Tbl_operations[[#This Row],[Operação Bancária]]="D",Acrescentar1[[#This Row],[Valor]]/100,Acrescentar1[[#This Row],[Valor]]/100)</f>
        <v>0</v>
      </c>
      <c r="H127" t="str">
        <f>Acrescentar1[[#This Row],[Deb_Cred]]</f>
        <v>D</v>
      </c>
      <c r="I127">
        <f>IF(Tbl_operations[[#This Row],[Status]]="POUPANÇA",Controller!$H$17,0)</f>
        <v>0</v>
      </c>
      <c r="J127" t="str">
        <f>IF(Tbl_operations[[#This Row],[Operação Bancária]]="C", "ENTRADA",IF(Tbl_operations[[#This Row],[Operação Bancária]]="P","POUPANÇA","SAIDA"))</f>
        <v>SAIDA</v>
      </c>
    </row>
    <row r="128" spans="1:10" x14ac:dyDescent="0.3">
      <c r="A128" s="1">
        <f>Acrescentar1[[#This Row],[Data_Mov]]</f>
        <v>45604</v>
      </c>
      <c r="B128" s="1" t="str">
        <f>Acrescentar1[[#This Row],[Mês]]</f>
        <v>Novembro</v>
      </c>
      <c r="C128" s="33">
        <f>Acrescentar1[[#This Row],[Ano]]</f>
        <v>2024</v>
      </c>
      <c r="D128" t="str">
        <f>VLOOKUP(Tbl_operations[[#This Row],[Categoria]],$N$3:$O$111,2,0)</f>
        <v>COMBUSTIVEL</v>
      </c>
      <c r="E128" t="str">
        <f>Acrescentar1[[#This Row],[Coluna2]]</f>
        <v>AutoPostoRecanto</v>
      </c>
      <c r="F128" t="str">
        <f>Acrescentar1[[#This Row],[Historico]]</f>
        <v>COMPRA</v>
      </c>
      <c r="G128" s="6">
        <f>IF(Tbl_operations[[#This Row],[Operação Bancária]]="D",Acrescentar1[[#This Row],[Valor]]/100,Acrescentar1[[#This Row],[Valor]]/100)</f>
        <v>20</v>
      </c>
      <c r="H128" t="str">
        <f>Acrescentar1[[#This Row],[Deb_Cred]]</f>
        <v>D</v>
      </c>
      <c r="I128">
        <f>IF(Tbl_operations[[#This Row],[Status]]="POUPANÇA",Controller!$H$17,0)</f>
        <v>0</v>
      </c>
      <c r="J128" t="str">
        <f>IF(Tbl_operations[[#This Row],[Operação Bancária]]="C", "ENTRADA",IF(Tbl_operations[[#This Row],[Operação Bancária]]="P","POUPANÇA","SAIDA"))</f>
        <v>SAIDA</v>
      </c>
    </row>
    <row r="129" spans="1:10" x14ac:dyDescent="0.3">
      <c r="A129" s="1">
        <f>Acrescentar1[[#This Row],[Data_Mov]]</f>
        <v>45604</v>
      </c>
      <c r="B129" s="1" t="str">
        <f>Acrescentar1[[#This Row],[Mês]]</f>
        <v>Novembro</v>
      </c>
      <c r="C129" s="33">
        <f>Acrescentar1[[#This Row],[Ano]]</f>
        <v>2024</v>
      </c>
      <c r="D129" t="str">
        <f>VLOOKUP(Tbl_operations[[#This Row],[Categoria]],$N$3:$O$111,2,0)</f>
        <v>DEPOSITO</v>
      </c>
      <c r="E129" t="str">
        <f>Acrescentar1[[#This Row],[Coluna2]]</f>
        <v>DEP DIN AG</v>
      </c>
      <c r="F129" t="str">
        <f>Acrescentar1[[#This Row],[Historico]]</f>
        <v>DEP DIN AG</v>
      </c>
      <c r="G129" s="6">
        <f>IF(Tbl_operations[[#This Row],[Operação Bancária]]="D",Acrescentar1[[#This Row],[Valor]]/100,Acrescentar1[[#This Row],[Valor]]/100)</f>
        <v>50</v>
      </c>
      <c r="H129" t="str">
        <f>Acrescentar1[[#This Row],[Deb_Cred]]</f>
        <v>C</v>
      </c>
      <c r="I129">
        <f>IF(Tbl_operations[[#This Row],[Status]]="POUPANÇA",Controller!$H$17,0)</f>
        <v>0</v>
      </c>
      <c r="J129" t="str">
        <f>IF(Tbl_operations[[#This Row],[Operação Bancária]]="C", "ENTRADA",IF(Tbl_operations[[#This Row],[Operação Bancária]]="P","POUPANÇA","SAIDA"))</f>
        <v>ENTRADA</v>
      </c>
    </row>
    <row r="130" spans="1:10" x14ac:dyDescent="0.3">
      <c r="A130" s="1">
        <f>Acrescentar1[[#This Row],[Data_Mov]]</f>
        <v>45604</v>
      </c>
      <c r="B130" s="1" t="str">
        <f>Acrescentar1[[#This Row],[Mês]]</f>
        <v>Novembro</v>
      </c>
      <c r="C130" s="33">
        <f>Acrescentar1[[#This Row],[Ano]]</f>
        <v>2024</v>
      </c>
      <c r="D130" t="str">
        <f>VLOOKUP(Tbl_operations[[#This Row],[Categoria]],$N$3:$O$111,2,0)</f>
        <v>RESTAURANTE</v>
      </c>
      <c r="E130" t="str">
        <f>Acrescentar1[[#This Row],[Coluna2]]</f>
        <v>SAO JOAO CONVENIENCIA</v>
      </c>
      <c r="F130" t="str">
        <f>Acrescentar1[[#This Row],[Historico]]</f>
        <v>COMPRA</v>
      </c>
      <c r="G130" s="6">
        <f>IF(Tbl_operations[[#This Row],[Operação Bancária]]="D",Acrescentar1[[#This Row],[Valor]]/100,Acrescentar1[[#This Row],[Valor]]/100)</f>
        <v>100</v>
      </c>
      <c r="H130" t="str">
        <f>Acrescentar1[[#This Row],[Deb_Cred]]</f>
        <v>D</v>
      </c>
      <c r="I130">
        <f>IF(Tbl_operations[[#This Row],[Status]]="POUPANÇA",Controller!$H$17,0)</f>
        <v>0</v>
      </c>
      <c r="J130" t="str">
        <f>IF(Tbl_operations[[#This Row],[Operação Bancária]]="C", "ENTRADA",IF(Tbl_operations[[#This Row],[Operação Bancária]]="P","POUPANÇA","SAIDA"))</f>
        <v>SAIDA</v>
      </c>
    </row>
    <row r="131" spans="1:10" x14ac:dyDescent="0.3">
      <c r="A131" s="1">
        <f>Acrescentar1[[#This Row],[Data_Mov]]</f>
        <v>45604</v>
      </c>
      <c r="B131" s="1" t="str">
        <f>Acrescentar1[[#This Row],[Mês]]</f>
        <v>Novembro</v>
      </c>
      <c r="C131" s="33">
        <f>Acrescentar1[[#This Row],[Ano]]</f>
        <v>2024</v>
      </c>
      <c r="D131" t="str">
        <f>VLOOKUP(Tbl_operations[[#This Row],[Categoria]],$N$3:$O$111,2,0)</f>
        <v>SUPERMERCADO</v>
      </c>
      <c r="E131" t="str">
        <f>Acrescentar1[[#This Row],[Coluna2]]</f>
        <v>DIA FRANQUIA LJ 9</v>
      </c>
      <c r="F131" t="str">
        <f>Acrescentar1[[#This Row],[Historico]]</f>
        <v>COMPRA</v>
      </c>
      <c r="G131" s="6">
        <f>IF(Tbl_operations[[#This Row],[Operação Bancária]]="D",Acrescentar1[[#This Row],[Valor]]/100,Acrescentar1[[#This Row],[Valor]]/100)</f>
        <v>44.31</v>
      </c>
      <c r="H131" t="str">
        <f>Acrescentar1[[#This Row],[Deb_Cred]]</f>
        <v>D</v>
      </c>
      <c r="I131">
        <f>IF(Tbl_operations[[#This Row],[Status]]="POUPANÇA",Controller!$H$17,0)</f>
        <v>0</v>
      </c>
      <c r="J131" t="str">
        <f>IF(Tbl_operations[[#This Row],[Operação Bancária]]="C", "ENTRADA",IF(Tbl_operations[[#This Row],[Operação Bancária]]="P","POUPANÇA","SAIDA"))</f>
        <v>SAIDA</v>
      </c>
    </row>
    <row r="132" spans="1:10" x14ac:dyDescent="0.3">
      <c r="A132" s="1">
        <f>Acrescentar1[[#This Row],[Data_Mov]]</f>
        <v>45604</v>
      </c>
      <c r="B132" s="1" t="str">
        <f>Acrescentar1[[#This Row],[Mês]]</f>
        <v>Novembro</v>
      </c>
      <c r="C132" s="33">
        <f>Acrescentar1[[#This Row],[Ano]]</f>
        <v>2024</v>
      </c>
      <c r="D132" t="str">
        <f>VLOOKUP(Tbl_operations[[#This Row],[Categoria]],$N$3:$O$111,2,0)</f>
        <v>SALDO</v>
      </c>
      <c r="E132" t="str">
        <f>Acrescentar1[[#This Row],[Coluna2]]</f>
        <v>SALDO DIA</v>
      </c>
      <c r="F132" t="str">
        <f>Acrescentar1[[#This Row],[Historico]]</f>
        <v>SALDO DIA</v>
      </c>
      <c r="G132" s="6">
        <f>IF(Tbl_operations[[#This Row],[Operação Bancária]]="D",Acrescentar1[[#This Row],[Valor]]/100,Acrescentar1[[#This Row],[Valor]]/100)</f>
        <v>0</v>
      </c>
      <c r="H132" t="str">
        <f>Acrescentar1[[#This Row],[Deb_Cred]]</f>
        <v>D</v>
      </c>
      <c r="I132">
        <f>IF(Tbl_operations[[#This Row],[Status]]="POUPANÇA",Controller!$H$17,0)</f>
        <v>0</v>
      </c>
      <c r="J132" t="str">
        <f>IF(Tbl_operations[[#This Row],[Operação Bancária]]="C", "ENTRADA",IF(Tbl_operations[[#This Row],[Operação Bancária]]="P","POUPANÇA","SAIDA"))</f>
        <v>SAIDA</v>
      </c>
    </row>
    <row r="133" spans="1:10" x14ac:dyDescent="0.3">
      <c r="A133" s="1">
        <f>Acrescentar1[[#This Row],[Data_Mov]]</f>
        <v>45607</v>
      </c>
      <c r="B133" s="1" t="str">
        <f>Acrescentar1[[#This Row],[Mês]]</f>
        <v>Novembro</v>
      </c>
      <c r="C133" s="33">
        <f>Acrescentar1[[#This Row],[Ano]]</f>
        <v>2024</v>
      </c>
      <c r="D133" t="str">
        <f>VLOOKUP(Tbl_operations[[#This Row],[Categoria]],$N$3:$O$111,2,0)</f>
        <v>INVESTIMENTO</v>
      </c>
      <c r="E133" t="str">
        <f>Acrescentar1[[#This Row],[Coluna2]]</f>
        <v>APP</v>
      </c>
      <c r="F133" t="str">
        <f>Acrescentar1[[#This Row],[Historico]]</f>
        <v>APP</v>
      </c>
      <c r="G133" s="6">
        <f>IF(Tbl_operations[[#This Row],[Operação Bancária]]="D",Acrescentar1[[#This Row],[Valor]]/100,Acrescentar1[[#This Row],[Valor]]/100)</f>
        <v>5</v>
      </c>
      <c r="H133" t="str">
        <f>Acrescentar1[[#This Row],[Deb_Cred]]</f>
        <v>D</v>
      </c>
      <c r="I133">
        <f>IF(Tbl_operations[[#This Row],[Status]]="POUPANÇA",Controller!$H$17,0)</f>
        <v>0</v>
      </c>
      <c r="J133" t="str">
        <f>IF(Tbl_operations[[#This Row],[Operação Bancária]]="C", "ENTRADA",IF(Tbl_operations[[#This Row],[Operação Bancária]]="P","POUPANÇA","SAIDA"))</f>
        <v>SAIDA</v>
      </c>
    </row>
    <row r="134" spans="1:10" x14ac:dyDescent="0.3">
      <c r="A134" s="1">
        <f>Acrescentar1[[#This Row],[Data_Mov]]</f>
        <v>45607</v>
      </c>
      <c r="B134" s="1" t="str">
        <f>Acrescentar1[[#This Row],[Mês]]</f>
        <v>Novembro</v>
      </c>
      <c r="C134" s="33">
        <f>Acrescentar1[[#This Row],[Ano]]</f>
        <v>2024</v>
      </c>
      <c r="D134" t="str">
        <f>VLOOKUP(Tbl_operations[[#This Row],[Categoria]],$N$3:$O$111,2,0)</f>
        <v>PART JLF</v>
      </c>
      <c r="E134" t="str">
        <f>Acrescentar1[[#This Row],[Coluna2]]</f>
        <v>CRED PIX</v>
      </c>
      <c r="F134" t="str">
        <f>Acrescentar1[[#This Row],[Historico]]</f>
        <v>CRED PIX</v>
      </c>
      <c r="G134" s="6">
        <f>IF(Tbl_operations[[#This Row],[Operação Bancária]]="D",Acrescentar1[[#This Row],[Valor]]/100,Acrescentar1[[#This Row],[Valor]]/100)</f>
        <v>10</v>
      </c>
      <c r="H134" t="str">
        <f>Acrescentar1[[#This Row],[Deb_Cred]]</f>
        <v>C</v>
      </c>
      <c r="I134">
        <f>IF(Tbl_operations[[#This Row],[Status]]="POUPANÇA",Controller!$H$17,0)</f>
        <v>0</v>
      </c>
      <c r="J134" t="str">
        <f>IF(Tbl_operations[[#This Row],[Operação Bancária]]="C", "ENTRADA",IF(Tbl_operations[[#This Row],[Operação Bancária]]="P","POUPANÇA","SAIDA"))</f>
        <v>ENTRADA</v>
      </c>
    </row>
    <row r="135" spans="1:10" x14ac:dyDescent="0.3">
      <c r="A135" s="1">
        <f>Acrescentar1[[#This Row],[Data_Mov]]</f>
        <v>45607</v>
      </c>
      <c r="B135" s="1" t="str">
        <f>Acrescentar1[[#This Row],[Mês]]</f>
        <v>Novembro</v>
      </c>
      <c r="C135" s="33">
        <f>Acrescentar1[[#This Row],[Ano]]</f>
        <v>2024</v>
      </c>
      <c r="D135" t="str">
        <f>VLOOKUP(Tbl_operations[[#This Row],[Categoria]],$N$3:$O$111,2,0)</f>
        <v>PART JLF</v>
      </c>
      <c r="E135" t="str">
        <f>Acrescentar1[[#This Row],[Coluna2]]</f>
        <v>CRED PIX</v>
      </c>
      <c r="F135" t="str">
        <f>Acrescentar1[[#This Row],[Historico]]</f>
        <v>CRED PIX</v>
      </c>
      <c r="G135" s="6">
        <f>IF(Tbl_operations[[#This Row],[Operação Bancária]]="D",Acrescentar1[[#This Row],[Valor]]/100,Acrescentar1[[#This Row],[Valor]]/100)</f>
        <v>100</v>
      </c>
      <c r="H135" t="str">
        <f>Acrescentar1[[#This Row],[Deb_Cred]]</f>
        <v>C</v>
      </c>
      <c r="I135">
        <f>IF(Tbl_operations[[#This Row],[Status]]="POUPANÇA",Controller!$H$17,0)</f>
        <v>0</v>
      </c>
      <c r="J135" t="str">
        <f>IF(Tbl_operations[[#This Row],[Operação Bancária]]="C", "ENTRADA",IF(Tbl_operations[[#This Row],[Operação Bancária]]="P","POUPANÇA","SAIDA"))</f>
        <v>ENTRADA</v>
      </c>
    </row>
    <row r="136" spans="1:10" x14ac:dyDescent="0.3">
      <c r="A136" s="1">
        <f>Acrescentar1[[#This Row],[Data_Mov]]</f>
        <v>45607</v>
      </c>
      <c r="B136" s="1" t="str">
        <f>Acrescentar1[[#This Row],[Mês]]</f>
        <v>Novembro</v>
      </c>
      <c r="C136" s="33">
        <f>Acrescentar1[[#This Row],[Ano]]</f>
        <v>2024</v>
      </c>
      <c r="D136" t="str">
        <f>VLOOKUP(Tbl_operations[[#This Row],[Categoria]],$N$3:$O$111,2,0)</f>
        <v>PAI-DIRCE</v>
      </c>
      <c r="E136" t="str">
        <f>Acrescentar1[[#This Row],[Coluna2]]</f>
        <v>ENVIO PIX</v>
      </c>
      <c r="F136" t="str">
        <f>Acrescentar1[[#This Row],[Historico]]</f>
        <v>ENVIO PIX</v>
      </c>
      <c r="G136" s="6">
        <f>IF(Tbl_operations[[#This Row],[Operação Bancária]]="D",Acrescentar1[[#This Row],[Valor]]/100,Acrescentar1[[#This Row],[Valor]]/100)</f>
        <v>106</v>
      </c>
      <c r="H136" t="str">
        <f>Acrescentar1[[#This Row],[Deb_Cred]]</f>
        <v>D</v>
      </c>
      <c r="I136">
        <f>IF(Tbl_operations[[#This Row],[Status]]="POUPANÇA",Controller!$H$17,0)</f>
        <v>0</v>
      </c>
      <c r="J136" t="str">
        <f>IF(Tbl_operations[[#This Row],[Operação Bancária]]="C", "ENTRADA",IF(Tbl_operations[[#This Row],[Operação Bancária]]="P","POUPANÇA","SAIDA"))</f>
        <v>SAIDA</v>
      </c>
    </row>
    <row r="137" spans="1:10" x14ac:dyDescent="0.3">
      <c r="A137" s="1">
        <f>Acrescentar1[[#This Row],[Data_Mov]]</f>
        <v>45607</v>
      </c>
      <c r="B137" s="1" t="str">
        <f>Acrescentar1[[#This Row],[Mês]]</f>
        <v>Novembro</v>
      </c>
      <c r="C137" s="33">
        <f>Acrescentar1[[#This Row],[Ano]]</f>
        <v>2024</v>
      </c>
      <c r="D137" t="str">
        <f>VLOOKUP(Tbl_operations[[#This Row],[Categoria]],$N$3:$O$111,2,0)</f>
        <v>DEPOSITO</v>
      </c>
      <c r="E137" t="str">
        <f>Acrescentar1[[#This Row],[Coluna2]]</f>
        <v>DEP DIN AG</v>
      </c>
      <c r="F137" t="str">
        <f>Acrescentar1[[#This Row],[Historico]]</f>
        <v>DEP DIN AG</v>
      </c>
      <c r="G137" s="6">
        <f>IF(Tbl_operations[[#This Row],[Operação Bancária]]="D",Acrescentar1[[#This Row],[Valor]]/100,Acrescentar1[[#This Row],[Valor]]/100)</f>
        <v>100</v>
      </c>
      <c r="H137" t="str">
        <f>Acrescentar1[[#This Row],[Deb_Cred]]</f>
        <v>C</v>
      </c>
      <c r="I137">
        <f>IF(Tbl_operations[[#This Row],[Status]]="POUPANÇA",Controller!$H$17,0)</f>
        <v>0</v>
      </c>
      <c r="J137" t="str">
        <f>IF(Tbl_operations[[#This Row],[Operação Bancária]]="C", "ENTRADA",IF(Tbl_operations[[#This Row],[Operação Bancária]]="P","POUPANÇA","SAIDA"))</f>
        <v>ENTRADA</v>
      </c>
    </row>
    <row r="138" spans="1:10" x14ac:dyDescent="0.3">
      <c r="A138" s="1">
        <f>Acrescentar1[[#This Row],[Data_Mov]]</f>
        <v>45607</v>
      </c>
      <c r="B138" s="1" t="str">
        <f>Acrescentar1[[#This Row],[Mês]]</f>
        <v>Novembro</v>
      </c>
      <c r="C138" s="33">
        <f>Acrescentar1[[#This Row],[Ano]]</f>
        <v>2024</v>
      </c>
      <c r="D138" t="str">
        <f>VLOOKUP(Tbl_operations[[#This Row],[Categoria]],$N$3:$O$111,2,0)</f>
        <v>COMBUSTIVEL</v>
      </c>
      <c r="E138" t="str">
        <f>Acrescentar1[[#This Row],[Coluna2]]</f>
        <v>PParada</v>
      </c>
      <c r="F138" t="str">
        <f>Acrescentar1[[#This Row],[Historico]]</f>
        <v>COMPRA</v>
      </c>
      <c r="G138" s="6">
        <f>IF(Tbl_operations[[#This Row],[Operação Bancária]]="D",Acrescentar1[[#This Row],[Valor]]/100,Acrescentar1[[#This Row],[Valor]]/100)</f>
        <v>12</v>
      </c>
      <c r="H138" t="str">
        <f>Acrescentar1[[#This Row],[Deb_Cred]]</f>
        <v>D</v>
      </c>
      <c r="I138">
        <f>IF(Tbl_operations[[#This Row],[Status]]="POUPANÇA",Controller!$H$17,0)</f>
        <v>0</v>
      </c>
      <c r="J138" t="str">
        <f>IF(Tbl_operations[[#This Row],[Operação Bancária]]="C", "ENTRADA",IF(Tbl_operations[[#This Row],[Operação Bancária]]="P","POUPANÇA","SAIDA"))</f>
        <v>SAIDA</v>
      </c>
    </row>
    <row r="139" spans="1:10" x14ac:dyDescent="0.3">
      <c r="A139" s="1">
        <f>Acrescentar1[[#This Row],[Data_Mov]]</f>
        <v>45607</v>
      </c>
      <c r="B139" s="1" t="str">
        <f>Acrescentar1[[#This Row],[Mês]]</f>
        <v>Novembro</v>
      </c>
      <c r="C139" s="33">
        <f>Acrescentar1[[#This Row],[Ano]]</f>
        <v>2024</v>
      </c>
      <c r="D139" t="str">
        <f>VLOOKUP(Tbl_operations[[#This Row],[Categoria]],$N$3:$O$111,2,0)</f>
        <v>COMBUSTIVEL</v>
      </c>
      <c r="E139" t="str">
        <f>Acrescentar1[[#This Row],[Coluna2]]</f>
        <v>PParada</v>
      </c>
      <c r="F139" t="str">
        <f>Acrescentar1[[#This Row],[Historico]]</f>
        <v>COMPRA</v>
      </c>
      <c r="G139" s="6">
        <f>IF(Tbl_operations[[#This Row],[Operação Bancária]]="D",Acrescentar1[[#This Row],[Valor]]/100,Acrescentar1[[#This Row],[Valor]]/100)</f>
        <v>100</v>
      </c>
      <c r="H139" t="str">
        <f>Acrescentar1[[#This Row],[Deb_Cred]]</f>
        <v>D</v>
      </c>
      <c r="I139">
        <f>IF(Tbl_operations[[#This Row],[Status]]="POUPANÇA",Controller!$H$17,0)</f>
        <v>0</v>
      </c>
      <c r="J139" t="str">
        <f>IF(Tbl_operations[[#This Row],[Operação Bancária]]="C", "ENTRADA",IF(Tbl_operations[[#This Row],[Operação Bancária]]="P","POUPANÇA","SAIDA"))</f>
        <v>SAIDA</v>
      </c>
    </row>
    <row r="140" spans="1:10" x14ac:dyDescent="0.3">
      <c r="A140" s="1">
        <f>Acrescentar1[[#This Row],[Data_Mov]]</f>
        <v>45607</v>
      </c>
      <c r="B140" s="1" t="str">
        <f>Acrescentar1[[#This Row],[Mês]]</f>
        <v>Novembro</v>
      </c>
      <c r="C140" s="33">
        <f>Acrescentar1[[#This Row],[Ano]]</f>
        <v>2024</v>
      </c>
      <c r="D140" t="str">
        <f>VLOOKUP(Tbl_operations[[#This Row],[Categoria]],$N$3:$O$111,2,0)</f>
        <v>SALDO</v>
      </c>
      <c r="E140" t="str">
        <f>Acrescentar1[[#This Row],[Coluna2]]</f>
        <v>SALDO DIA</v>
      </c>
      <c r="F140" t="str">
        <f>Acrescentar1[[#This Row],[Historico]]</f>
        <v>SALDO DIA</v>
      </c>
      <c r="G140" s="6">
        <f>IF(Tbl_operations[[#This Row],[Operação Bancária]]="D",Acrescentar1[[#This Row],[Valor]]/100,Acrescentar1[[#This Row],[Valor]]/100)</f>
        <v>0</v>
      </c>
      <c r="H140" t="str">
        <f>Acrescentar1[[#This Row],[Deb_Cred]]</f>
        <v>D</v>
      </c>
      <c r="I140">
        <f>IF(Tbl_operations[[#This Row],[Status]]="POUPANÇA",Controller!$H$17,0)</f>
        <v>0</v>
      </c>
      <c r="J140" t="str">
        <f>IF(Tbl_operations[[#This Row],[Operação Bancária]]="C", "ENTRADA",IF(Tbl_operations[[#This Row],[Operação Bancária]]="P","POUPANÇA","SAIDA"))</f>
        <v>SAIDA</v>
      </c>
    </row>
    <row r="141" spans="1:10" x14ac:dyDescent="0.3">
      <c r="A141" s="1">
        <f>Acrescentar1[[#This Row],[Data_Mov]]</f>
        <v>45608</v>
      </c>
      <c r="B141" s="1" t="str">
        <f>Acrescentar1[[#This Row],[Mês]]</f>
        <v>Novembro</v>
      </c>
      <c r="C141" s="33">
        <f>Acrescentar1[[#This Row],[Ano]]</f>
        <v>2024</v>
      </c>
      <c r="D141" t="str">
        <f>VLOOKUP(Tbl_operations[[#This Row],[Categoria]],$N$3:$O$111,2,0)</f>
        <v>SUPERMERCADO</v>
      </c>
      <c r="E141" t="str">
        <f>Acrescentar1[[#This Row],[Coluna2]]</f>
        <v>DIA FRANQUIA LJ 9</v>
      </c>
      <c r="F141" t="str">
        <f>Acrescentar1[[#This Row],[Historico]]</f>
        <v>COMPRA</v>
      </c>
      <c r="G141" s="6">
        <f>IF(Tbl_operations[[#This Row],[Operação Bancária]]="D",Acrescentar1[[#This Row],[Valor]]/100,Acrescentar1[[#This Row],[Valor]]/100)</f>
        <v>11</v>
      </c>
      <c r="H141" t="str">
        <f>Acrescentar1[[#This Row],[Deb_Cred]]</f>
        <v>D</v>
      </c>
      <c r="I141">
        <f>IF(Tbl_operations[[#This Row],[Status]]="POUPANÇA",Controller!$H$17,0)</f>
        <v>0</v>
      </c>
      <c r="J141" t="str">
        <f>IF(Tbl_operations[[#This Row],[Operação Bancária]]="C", "ENTRADA",IF(Tbl_operations[[#This Row],[Operação Bancária]]="P","POUPANÇA","SAIDA"))</f>
        <v>SAIDA</v>
      </c>
    </row>
    <row r="142" spans="1:10" x14ac:dyDescent="0.3">
      <c r="A142" s="1">
        <f>Acrescentar1[[#This Row],[Data_Mov]]</f>
        <v>45608</v>
      </c>
      <c r="B142" s="1" t="str">
        <f>Acrescentar1[[#This Row],[Mês]]</f>
        <v>Novembro</v>
      </c>
      <c r="C142" s="33">
        <f>Acrescentar1[[#This Row],[Ano]]</f>
        <v>2024</v>
      </c>
      <c r="D142" t="str">
        <f>VLOOKUP(Tbl_operations[[#This Row],[Categoria]],$N$3:$O$111,2,0)</f>
        <v>SALDO</v>
      </c>
      <c r="E142" t="str">
        <f>Acrescentar1[[#This Row],[Coluna2]]</f>
        <v>SALDO DIA</v>
      </c>
      <c r="F142" t="str">
        <f>Acrescentar1[[#This Row],[Historico]]</f>
        <v>SALDO DIA</v>
      </c>
      <c r="G142" s="6">
        <f>IF(Tbl_operations[[#This Row],[Operação Bancária]]="D",Acrescentar1[[#This Row],[Valor]]/100,Acrescentar1[[#This Row],[Valor]]/100)</f>
        <v>0</v>
      </c>
      <c r="H142" t="str">
        <f>Acrescentar1[[#This Row],[Deb_Cred]]</f>
        <v>D</v>
      </c>
      <c r="I142">
        <f>IF(Tbl_operations[[#This Row],[Status]]="POUPANÇA",Controller!$H$17,0)</f>
        <v>0</v>
      </c>
      <c r="J142" t="str">
        <f>IF(Tbl_operations[[#This Row],[Operação Bancária]]="C", "ENTRADA",IF(Tbl_operations[[#This Row],[Operação Bancária]]="P","POUPANÇA","SAIDA"))</f>
        <v>SAIDA</v>
      </c>
    </row>
    <row r="143" spans="1:10" x14ac:dyDescent="0.3">
      <c r="A143" s="1">
        <f>Acrescentar1[[#This Row],[Data_Mov]]</f>
        <v>45609</v>
      </c>
      <c r="B143" s="1" t="str">
        <f>Acrescentar1[[#This Row],[Mês]]</f>
        <v>Novembro</v>
      </c>
      <c r="C143" s="33">
        <f>Acrescentar1[[#This Row],[Ano]]</f>
        <v>2024</v>
      </c>
      <c r="D143" t="str">
        <f>VLOOKUP(Tbl_operations[[#This Row],[Categoria]],$N$3:$O$111,2,0)</f>
        <v>DEPOSITO</v>
      </c>
      <c r="E143" t="str">
        <f>Acrescentar1[[#This Row],[Coluna2]]</f>
        <v>DEP DIN AG</v>
      </c>
      <c r="F143" t="str">
        <f>Acrescentar1[[#This Row],[Historico]]</f>
        <v>DEP DIN AG</v>
      </c>
      <c r="G143" s="6">
        <f>IF(Tbl_operations[[#This Row],[Operação Bancária]]="D",Acrescentar1[[#This Row],[Valor]]/100,Acrescentar1[[#This Row],[Valor]]/100)</f>
        <v>315</v>
      </c>
      <c r="H143" t="str">
        <f>Acrescentar1[[#This Row],[Deb_Cred]]</f>
        <v>C</v>
      </c>
      <c r="I143">
        <f>IF(Tbl_operations[[#This Row],[Status]]="POUPANÇA",Controller!$H$17,0)</f>
        <v>0</v>
      </c>
      <c r="J143" t="str">
        <f>IF(Tbl_operations[[#This Row],[Operação Bancária]]="C", "ENTRADA",IF(Tbl_operations[[#This Row],[Operação Bancária]]="P","POUPANÇA","SAIDA"))</f>
        <v>ENTRADA</v>
      </c>
    </row>
    <row r="144" spans="1:10" x14ac:dyDescent="0.3">
      <c r="A144" s="1">
        <f>Acrescentar1[[#This Row],[Data_Mov]]</f>
        <v>45609</v>
      </c>
      <c r="B144" s="1" t="str">
        <f>Acrescentar1[[#This Row],[Mês]]</f>
        <v>Novembro</v>
      </c>
      <c r="C144" s="33">
        <f>Acrescentar1[[#This Row],[Ano]]</f>
        <v>2024</v>
      </c>
      <c r="D144" t="str">
        <f>VLOOKUP(Tbl_operations[[#This Row],[Categoria]],$N$3:$O$111,2,0)</f>
        <v>PAI-DIRCE</v>
      </c>
      <c r="E144" t="str">
        <f>Acrescentar1[[#This Row],[Coluna2]]</f>
        <v>DEB WHATS</v>
      </c>
      <c r="F144" t="str">
        <f>Acrescentar1[[#This Row],[Historico]]</f>
        <v>DEB WHATS</v>
      </c>
      <c r="G144" s="6">
        <f>IF(Tbl_operations[[#This Row],[Operação Bancária]]="D",Acrescentar1[[#This Row],[Valor]]/100,Acrescentar1[[#This Row],[Valor]]/100)</f>
        <v>65</v>
      </c>
      <c r="H144" t="str">
        <f>Acrescentar1[[#This Row],[Deb_Cred]]</f>
        <v>D</v>
      </c>
      <c r="I144">
        <f>IF(Tbl_operations[[#This Row],[Status]]="POUPANÇA",Controller!$H$17,0)</f>
        <v>0</v>
      </c>
      <c r="J144" t="str">
        <f>IF(Tbl_operations[[#This Row],[Operação Bancária]]="C", "ENTRADA",IF(Tbl_operations[[#This Row],[Operação Bancária]]="P","POUPANÇA","SAIDA"))</f>
        <v>SAIDA</v>
      </c>
    </row>
    <row r="145" spans="1:10" x14ac:dyDescent="0.3">
      <c r="A145" s="1">
        <f>Acrescentar1[[#This Row],[Data_Mov]]</f>
        <v>45609</v>
      </c>
      <c r="B145" s="1" t="str">
        <f>Acrescentar1[[#This Row],[Mês]]</f>
        <v>Novembro</v>
      </c>
      <c r="C145" s="33">
        <f>Acrescentar1[[#This Row],[Ano]]</f>
        <v>2024</v>
      </c>
      <c r="D145" t="str">
        <f>VLOOKUP(Tbl_operations[[#This Row],[Categoria]],$N$3:$O$111,2,0)</f>
        <v>COMBUSTIVEL</v>
      </c>
      <c r="E145" t="str">
        <f>Acrescentar1[[#This Row],[Coluna2]]</f>
        <v>PParada</v>
      </c>
      <c r="F145" t="str">
        <f>Acrescentar1[[#This Row],[Historico]]</f>
        <v>COMPRA</v>
      </c>
      <c r="G145" s="6">
        <f>IF(Tbl_operations[[#This Row],[Operação Bancária]]="D",Acrescentar1[[#This Row],[Valor]]/100,Acrescentar1[[#This Row],[Valor]]/100)</f>
        <v>100</v>
      </c>
      <c r="H145" t="str">
        <f>Acrescentar1[[#This Row],[Deb_Cred]]</f>
        <v>D</v>
      </c>
      <c r="I145">
        <f>IF(Tbl_operations[[#This Row],[Status]]="POUPANÇA",Controller!$H$17,0)</f>
        <v>0</v>
      </c>
      <c r="J145" t="str">
        <f>IF(Tbl_operations[[#This Row],[Operação Bancária]]="C", "ENTRADA",IF(Tbl_operations[[#This Row],[Operação Bancária]]="P","POUPANÇA","SAIDA"))</f>
        <v>SAIDA</v>
      </c>
    </row>
    <row r="146" spans="1:10" x14ac:dyDescent="0.3">
      <c r="A146" s="1">
        <f>Acrescentar1[[#This Row],[Data_Mov]]</f>
        <v>45609</v>
      </c>
      <c r="B146" s="1" t="str">
        <f>Acrescentar1[[#This Row],[Mês]]</f>
        <v>Novembro</v>
      </c>
      <c r="C146" s="33">
        <f>Acrescentar1[[#This Row],[Ano]]</f>
        <v>2024</v>
      </c>
      <c r="D146" t="str">
        <f>VLOOKUP(Tbl_operations[[#This Row],[Categoria]],$N$3:$O$111,2,0)</f>
        <v>SUPERMERCADO</v>
      </c>
      <c r="E146" t="str">
        <f>Acrescentar1[[#This Row],[Coluna2]]</f>
        <v>DIA FRANQUIA LJ 9</v>
      </c>
      <c r="F146" t="str">
        <f>Acrescentar1[[#This Row],[Historico]]</f>
        <v>COMPRA</v>
      </c>
      <c r="G146" s="6">
        <f>IF(Tbl_operations[[#This Row],[Operação Bancária]]="D",Acrescentar1[[#This Row],[Valor]]/100,Acrescentar1[[#This Row],[Valor]]/100)</f>
        <v>19.87</v>
      </c>
      <c r="H146" t="str">
        <f>Acrescentar1[[#This Row],[Deb_Cred]]</f>
        <v>D</v>
      </c>
      <c r="I146">
        <f>IF(Tbl_operations[[#This Row],[Status]]="POUPANÇA",Controller!$H$17,0)</f>
        <v>0</v>
      </c>
      <c r="J146" t="str">
        <f>IF(Tbl_operations[[#This Row],[Operação Bancária]]="C", "ENTRADA",IF(Tbl_operations[[#This Row],[Operação Bancária]]="P","POUPANÇA","SAIDA"))</f>
        <v>SAIDA</v>
      </c>
    </row>
    <row r="147" spans="1:10" x14ac:dyDescent="0.3">
      <c r="A147" s="1">
        <f>Acrescentar1[[#This Row],[Data_Mov]]</f>
        <v>45609</v>
      </c>
      <c r="B147" s="1" t="str">
        <f>Acrescentar1[[#This Row],[Mês]]</f>
        <v>Novembro</v>
      </c>
      <c r="C147" s="33">
        <f>Acrescentar1[[#This Row],[Ano]]</f>
        <v>2024</v>
      </c>
      <c r="D147" t="str">
        <f>VLOOKUP(Tbl_operations[[#This Row],[Categoria]],$N$3:$O$111,2,0)</f>
        <v>SALDO</v>
      </c>
      <c r="E147" t="str">
        <f>Acrescentar1[[#This Row],[Coluna2]]</f>
        <v>SALDO DIA</v>
      </c>
      <c r="F147" t="str">
        <f>Acrescentar1[[#This Row],[Historico]]</f>
        <v>SALDO DIA</v>
      </c>
      <c r="G147" s="6">
        <f>IF(Tbl_operations[[#This Row],[Operação Bancária]]="D",Acrescentar1[[#This Row],[Valor]]/100,Acrescentar1[[#This Row],[Valor]]/100)</f>
        <v>0</v>
      </c>
      <c r="H147" t="str">
        <f>Acrescentar1[[#This Row],[Deb_Cred]]</f>
        <v>D</v>
      </c>
      <c r="I147">
        <f>IF(Tbl_operations[[#This Row],[Status]]="POUPANÇA",Controller!$H$17,0)</f>
        <v>0</v>
      </c>
      <c r="J147" t="str">
        <f>IF(Tbl_operations[[#This Row],[Operação Bancária]]="C", "ENTRADA",IF(Tbl_operations[[#This Row],[Operação Bancária]]="P","POUPANÇA","SAIDA"))</f>
        <v>SAIDA</v>
      </c>
    </row>
    <row r="148" spans="1:10" x14ac:dyDescent="0.3">
      <c r="A148" s="1">
        <f>Acrescentar1[[#This Row],[Data_Mov]]</f>
        <v>45610</v>
      </c>
      <c r="B148" s="1" t="str">
        <f>Acrescentar1[[#This Row],[Mês]]</f>
        <v>Novembro</v>
      </c>
      <c r="C148" s="33">
        <f>Acrescentar1[[#This Row],[Ano]]</f>
        <v>2024</v>
      </c>
      <c r="D148" t="str">
        <f>VLOOKUP(Tbl_operations[[#This Row],[Categoria]],$N$3:$O$111,2,0)</f>
        <v>PART JLF</v>
      </c>
      <c r="E148" t="str">
        <f>Acrescentar1[[#This Row],[Coluna2]]</f>
        <v>CRED PIX</v>
      </c>
      <c r="F148" t="str">
        <f>Acrescentar1[[#This Row],[Historico]]</f>
        <v>CRED PIX</v>
      </c>
      <c r="G148" s="6">
        <f>IF(Tbl_operations[[#This Row],[Operação Bancária]]="D",Acrescentar1[[#This Row],[Valor]]/100,Acrescentar1[[#This Row],[Valor]]/100)</f>
        <v>350</v>
      </c>
      <c r="H148" t="str">
        <f>Acrescentar1[[#This Row],[Deb_Cred]]</f>
        <v>C</v>
      </c>
      <c r="I148">
        <f>IF(Tbl_operations[[#This Row],[Status]]="POUPANÇA",Controller!$H$17,0)</f>
        <v>0</v>
      </c>
      <c r="J148" t="str">
        <f>IF(Tbl_operations[[#This Row],[Operação Bancária]]="C", "ENTRADA",IF(Tbl_operations[[#This Row],[Operação Bancária]]="P","POUPANÇA","SAIDA"))</f>
        <v>ENTRADA</v>
      </c>
    </row>
    <row r="149" spans="1:10" x14ac:dyDescent="0.3">
      <c r="A149" s="1">
        <f>Acrescentar1[[#This Row],[Data_Mov]]</f>
        <v>45610</v>
      </c>
      <c r="B149" s="1" t="str">
        <f>Acrescentar1[[#This Row],[Mês]]</f>
        <v>Novembro</v>
      </c>
      <c r="C149" s="33">
        <f>Acrescentar1[[#This Row],[Ano]]</f>
        <v>2024</v>
      </c>
      <c r="D149" t="str">
        <f>VLOOKUP(Tbl_operations[[#This Row],[Categoria]],$N$3:$O$111,2,0)</f>
        <v>RESTAURANTE</v>
      </c>
      <c r="E149" t="str">
        <f>Acrescentar1[[#This Row],[Coluna2]]</f>
        <v>ATIBAIA POINT COM</v>
      </c>
      <c r="F149" t="str">
        <f>Acrescentar1[[#This Row],[Historico]]</f>
        <v>COMPRA</v>
      </c>
      <c r="G149" s="6">
        <f>IF(Tbl_operations[[#This Row],[Operação Bancária]]="D",Acrescentar1[[#This Row],[Valor]]/100,Acrescentar1[[#This Row],[Valor]]/100)</f>
        <v>23.05</v>
      </c>
      <c r="H149" t="str">
        <f>Acrescentar1[[#This Row],[Deb_Cred]]</f>
        <v>D</v>
      </c>
      <c r="I149">
        <f>IF(Tbl_operations[[#This Row],[Status]]="POUPANÇA",Controller!$H$17,0)</f>
        <v>0</v>
      </c>
      <c r="J149" t="str">
        <f>IF(Tbl_operations[[#This Row],[Operação Bancária]]="C", "ENTRADA",IF(Tbl_operations[[#This Row],[Operação Bancária]]="P","POUPANÇA","SAIDA"))</f>
        <v>SAIDA</v>
      </c>
    </row>
    <row r="150" spans="1:10" x14ac:dyDescent="0.3">
      <c r="A150" s="1">
        <f>Acrescentar1[[#This Row],[Data_Mov]]</f>
        <v>45610</v>
      </c>
      <c r="B150" s="1" t="str">
        <f>Acrescentar1[[#This Row],[Mês]]</f>
        <v>Novembro</v>
      </c>
      <c r="C150" s="33">
        <f>Acrescentar1[[#This Row],[Ano]]</f>
        <v>2024</v>
      </c>
      <c r="D150" t="str">
        <f>VLOOKUP(Tbl_operations[[#This Row],[Categoria]],$N$3:$O$111,2,0)</f>
        <v>SUPERMERCADO</v>
      </c>
      <c r="E150" t="str">
        <f>Acrescentar1[[#This Row],[Coluna2]]</f>
        <v>DIA FRANQUIA LJ 9</v>
      </c>
      <c r="F150" t="str">
        <f>Acrescentar1[[#This Row],[Historico]]</f>
        <v>COMPRA</v>
      </c>
      <c r="G150" s="6">
        <f>IF(Tbl_operations[[#This Row],[Operação Bancária]]="D",Acrescentar1[[#This Row],[Valor]]/100,Acrescentar1[[#This Row],[Valor]]/100)</f>
        <v>43.29</v>
      </c>
      <c r="H150" t="str">
        <f>Acrescentar1[[#This Row],[Deb_Cred]]</f>
        <v>D</v>
      </c>
      <c r="I150">
        <f>IF(Tbl_operations[[#This Row],[Status]]="POUPANÇA",Controller!$H$17,0)</f>
        <v>0</v>
      </c>
      <c r="J150" t="str">
        <f>IF(Tbl_operations[[#This Row],[Operação Bancária]]="C", "ENTRADA",IF(Tbl_operations[[#This Row],[Operação Bancária]]="P","POUPANÇA","SAIDA"))</f>
        <v>SAIDA</v>
      </c>
    </row>
    <row r="151" spans="1:10" x14ac:dyDescent="0.3">
      <c r="A151" s="1">
        <f>Acrescentar1[[#This Row],[Data_Mov]]</f>
        <v>45610</v>
      </c>
      <c r="B151" s="1" t="str">
        <f>Acrescentar1[[#This Row],[Mês]]</f>
        <v>Novembro</v>
      </c>
      <c r="C151" s="33">
        <f>Acrescentar1[[#This Row],[Ano]]</f>
        <v>2024</v>
      </c>
      <c r="D151" t="str">
        <f>VLOOKUP(Tbl_operations[[#This Row],[Categoria]],$N$3:$O$111,2,0)</f>
        <v>SALDO</v>
      </c>
      <c r="E151" t="str">
        <f>Acrescentar1[[#This Row],[Coluna2]]</f>
        <v>SALDO DIA</v>
      </c>
      <c r="F151" t="str">
        <f>Acrescentar1[[#This Row],[Historico]]</f>
        <v>SALDO DIA</v>
      </c>
      <c r="G151" s="6">
        <f>IF(Tbl_operations[[#This Row],[Operação Bancária]]="D",Acrescentar1[[#This Row],[Valor]]/100,Acrescentar1[[#This Row],[Valor]]/100)</f>
        <v>0</v>
      </c>
      <c r="H151" t="str">
        <f>Acrescentar1[[#This Row],[Deb_Cred]]</f>
        <v>D</v>
      </c>
      <c r="I151">
        <f>IF(Tbl_operations[[#This Row],[Status]]="POUPANÇA",Controller!$H$17,0)</f>
        <v>0</v>
      </c>
      <c r="J151" t="str">
        <f>IF(Tbl_operations[[#This Row],[Operação Bancária]]="C", "ENTRADA",IF(Tbl_operations[[#This Row],[Operação Bancária]]="P","POUPANÇA","SAIDA"))</f>
        <v>SAIDA</v>
      </c>
    </row>
    <row r="152" spans="1:10" x14ac:dyDescent="0.3">
      <c r="A152" s="1">
        <f>Acrescentar1[[#This Row],[Data_Mov]]</f>
        <v>45614</v>
      </c>
      <c r="B152" s="1" t="str">
        <f>Acrescentar1[[#This Row],[Mês]]</f>
        <v>Novembro</v>
      </c>
      <c r="C152" s="33">
        <f>Acrescentar1[[#This Row],[Ano]]</f>
        <v>2024</v>
      </c>
      <c r="D152" t="str">
        <f>VLOOKUP(Tbl_operations[[#This Row],[Categoria]],$N$3:$O$111,2,0)</f>
        <v>PAI-DIRCE</v>
      </c>
      <c r="E152" t="str">
        <f>Acrescentar1[[#This Row],[Coluna2]]</f>
        <v>ENVIO PIX</v>
      </c>
      <c r="F152" t="str">
        <f>Acrescentar1[[#This Row],[Historico]]</f>
        <v>ENVIO PIX</v>
      </c>
      <c r="G152" s="6">
        <f>IF(Tbl_operations[[#This Row],[Operação Bancária]]="D",Acrescentar1[[#This Row],[Valor]]/100,Acrescentar1[[#This Row],[Valor]]/100)</f>
        <v>35</v>
      </c>
      <c r="H152" t="str">
        <f>Acrescentar1[[#This Row],[Deb_Cred]]</f>
        <v>D</v>
      </c>
      <c r="I152">
        <f>IF(Tbl_operations[[#This Row],[Status]]="POUPANÇA",Controller!$H$17,0)</f>
        <v>0</v>
      </c>
      <c r="J152" t="str">
        <f>IF(Tbl_operations[[#This Row],[Operação Bancária]]="C", "ENTRADA",IF(Tbl_operations[[#This Row],[Operação Bancária]]="P","POUPANÇA","SAIDA"))</f>
        <v>SAIDA</v>
      </c>
    </row>
    <row r="153" spans="1:10" x14ac:dyDescent="0.3">
      <c r="A153" s="1">
        <f>Acrescentar1[[#This Row],[Data_Mov]]</f>
        <v>45614</v>
      </c>
      <c r="B153" s="1" t="str">
        <f>Acrescentar1[[#This Row],[Mês]]</f>
        <v>Novembro</v>
      </c>
      <c r="C153" s="33">
        <f>Acrescentar1[[#This Row],[Ano]]</f>
        <v>2024</v>
      </c>
      <c r="D153" t="str">
        <f>VLOOKUP(Tbl_operations[[#This Row],[Categoria]],$N$3:$O$111,2,0)</f>
        <v>PAI-DIRCE</v>
      </c>
      <c r="E153" t="str">
        <f>Acrescentar1[[#This Row],[Coluna2]]</f>
        <v>ENVIO PIX</v>
      </c>
      <c r="F153" t="str">
        <f>Acrescentar1[[#This Row],[Historico]]</f>
        <v>ENVIO PIX</v>
      </c>
      <c r="G153" s="6">
        <f>IF(Tbl_operations[[#This Row],[Operação Bancária]]="D",Acrescentar1[[#This Row],[Valor]]/100,Acrescentar1[[#This Row],[Valor]]/100)</f>
        <v>8</v>
      </c>
      <c r="H153" t="str">
        <f>Acrescentar1[[#This Row],[Deb_Cred]]</f>
        <v>D</v>
      </c>
      <c r="I153">
        <f>IF(Tbl_operations[[#This Row],[Status]]="POUPANÇA",Controller!$H$17,0)</f>
        <v>0</v>
      </c>
      <c r="J153" t="str">
        <f>IF(Tbl_operations[[#This Row],[Operação Bancária]]="C", "ENTRADA",IF(Tbl_operations[[#This Row],[Operação Bancária]]="P","POUPANÇA","SAIDA"))</f>
        <v>SAIDA</v>
      </c>
    </row>
    <row r="154" spans="1:10" x14ac:dyDescent="0.3">
      <c r="A154" s="1">
        <f>Acrescentar1[[#This Row],[Data_Mov]]</f>
        <v>45614</v>
      </c>
      <c r="B154" s="1" t="str">
        <f>Acrescentar1[[#This Row],[Mês]]</f>
        <v>Novembro</v>
      </c>
      <c r="C154" s="33">
        <f>Acrescentar1[[#This Row],[Ano]]</f>
        <v>2024</v>
      </c>
      <c r="D154" t="str">
        <f>VLOOKUP(Tbl_operations[[#This Row],[Categoria]],$N$3:$O$111,2,0)</f>
        <v>SUPERMERCADO</v>
      </c>
      <c r="E154" t="str">
        <f>Acrescentar1[[#This Row],[Coluna2]]</f>
        <v>COMERCIAL MOURA</v>
      </c>
      <c r="F154" t="str">
        <f>Acrescentar1[[#This Row],[Historico]]</f>
        <v>COMPRA</v>
      </c>
      <c r="G154" s="6">
        <f>IF(Tbl_operations[[#This Row],[Operação Bancária]]="D",Acrescentar1[[#This Row],[Valor]]/100,Acrescentar1[[#This Row],[Valor]]/100)</f>
        <v>186.69</v>
      </c>
      <c r="H154" t="str">
        <f>Acrescentar1[[#This Row],[Deb_Cred]]</f>
        <v>D</v>
      </c>
      <c r="I154">
        <f>IF(Tbl_operations[[#This Row],[Status]]="POUPANÇA",Controller!$H$17,0)</f>
        <v>0</v>
      </c>
      <c r="J154" t="str">
        <f>IF(Tbl_operations[[#This Row],[Operação Bancária]]="C", "ENTRADA",IF(Tbl_operations[[#This Row],[Operação Bancária]]="P","POUPANÇA","SAIDA"))</f>
        <v>SAIDA</v>
      </c>
    </row>
    <row r="155" spans="1:10" x14ac:dyDescent="0.3">
      <c r="A155" s="1">
        <f>Acrescentar1[[#This Row],[Data_Mov]]</f>
        <v>45614</v>
      </c>
      <c r="B155" s="1" t="str">
        <f>Acrescentar1[[#This Row],[Mês]]</f>
        <v>Novembro</v>
      </c>
      <c r="C155" s="33">
        <f>Acrescentar1[[#This Row],[Ano]]</f>
        <v>2024</v>
      </c>
      <c r="D155" t="str">
        <f>VLOOKUP(Tbl_operations[[#This Row],[Categoria]],$N$3:$O$111,2,0)</f>
        <v>SUPERMERCADO</v>
      </c>
      <c r="E155" t="str">
        <f>Acrescentar1[[#This Row],[Coluna2]]</f>
        <v>COMERCIAL MOURA</v>
      </c>
      <c r="F155" t="str">
        <f>Acrescentar1[[#This Row],[Historico]]</f>
        <v>COMPRA</v>
      </c>
      <c r="G155" s="6">
        <f>IF(Tbl_operations[[#This Row],[Operação Bancária]]="D",Acrescentar1[[#This Row],[Valor]]/100,Acrescentar1[[#This Row],[Valor]]/100)</f>
        <v>7.76</v>
      </c>
      <c r="H155" t="str">
        <f>Acrescentar1[[#This Row],[Deb_Cred]]</f>
        <v>D</v>
      </c>
      <c r="I155">
        <f>IF(Tbl_operations[[#This Row],[Status]]="POUPANÇA",Controller!$H$17,0)</f>
        <v>0</v>
      </c>
      <c r="J155" t="str">
        <f>IF(Tbl_operations[[#This Row],[Operação Bancária]]="C", "ENTRADA",IF(Tbl_operations[[#This Row],[Operação Bancária]]="P","POUPANÇA","SAIDA"))</f>
        <v>SAIDA</v>
      </c>
    </row>
    <row r="156" spans="1:10" x14ac:dyDescent="0.3">
      <c r="A156" s="1">
        <f>Acrescentar1[[#This Row],[Data_Mov]]</f>
        <v>45614</v>
      </c>
      <c r="B156" s="1" t="str">
        <f>Acrescentar1[[#This Row],[Mês]]</f>
        <v>Novembro</v>
      </c>
      <c r="C156" s="33">
        <f>Acrescentar1[[#This Row],[Ano]]</f>
        <v>2024</v>
      </c>
      <c r="D156" t="str">
        <f>VLOOKUP(Tbl_operations[[#This Row],[Categoria]],$N$3:$O$111,2,0)</f>
        <v>SUPERMERCADO</v>
      </c>
      <c r="E156" t="str">
        <f>Acrescentar1[[#This Row],[Coluna2]]</f>
        <v>DIA FRANQUIA LJ 9</v>
      </c>
      <c r="F156" t="str">
        <f>Acrescentar1[[#This Row],[Historico]]</f>
        <v>COMPRA</v>
      </c>
      <c r="G156" s="6">
        <f>IF(Tbl_operations[[#This Row],[Operação Bancária]]="D",Acrescentar1[[#This Row],[Valor]]/100,Acrescentar1[[#This Row],[Valor]]/100)</f>
        <v>22.66</v>
      </c>
      <c r="H156" t="str">
        <f>Acrescentar1[[#This Row],[Deb_Cred]]</f>
        <v>D</v>
      </c>
      <c r="I156">
        <f>IF(Tbl_operations[[#This Row],[Status]]="POUPANÇA",Controller!$H$17,0)</f>
        <v>0</v>
      </c>
      <c r="J156" t="str">
        <f>IF(Tbl_operations[[#This Row],[Operação Bancária]]="C", "ENTRADA",IF(Tbl_operations[[#This Row],[Operação Bancária]]="P","POUPANÇA","SAIDA"))</f>
        <v>SAIDA</v>
      </c>
    </row>
    <row r="157" spans="1:10" x14ac:dyDescent="0.3">
      <c r="A157" s="1">
        <f>Acrescentar1[[#This Row],[Data_Mov]]</f>
        <v>45614</v>
      </c>
      <c r="B157" s="1" t="str">
        <f>Acrescentar1[[#This Row],[Mês]]</f>
        <v>Novembro</v>
      </c>
      <c r="C157" s="33">
        <f>Acrescentar1[[#This Row],[Ano]]</f>
        <v>2024</v>
      </c>
      <c r="D157" t="str">
        <f>VLOOKUP(Tbl_operations[[#This Row],[Categoria]],$N$3:$O$111,2,0)</f>
        <v>PAI-DIRCE</v>
      </c>
      <c r="E157" t="str">
        <f>Acrescentar1[[#This Row],[Coluna2]]</f>
        <v>ENVIO PIX</v>
      </c>
      <c r="F157" t="str">
        <f>Acrescentar1[[#This Row],[Historico]]</f>
        <v>ENVIO PIX</v>
      </c>
      <c r="G157" s="6">
        <f>IF(Tbl_operations[[#This Row],[Operação Bancária]]="D",Acrescentar1[[#This Row],[Valor]]/100,Acrescentar1[[#This Row],[Valor]]/100)</f>
        <v>127</v>
      </c>
      <c r="H157" t="str">
        <f>Acrescentar1[[#This Row],[Deb_Cred]]</f>
        <v>D</v>
      </c>
      <c r="I157">
        <f>IF(Tbl_operations[[#This Row],[Status]]="POUPANÇA",Controller!$H$17,0)</f>
        <v>0</v>
      </c>
      <c r="J157" t="str">
        <f>IF(Tbl_operations[[#This Row],[Operação Bancária]]="C", "ENTRADA",IF(Tbl_operations[[#This Row],[Operação Bancária]]="P","POUPANÇA","SAIDA"))</f>
        <v>SAIDA</v>
      </c>
    </row>
    <row r="158" spans="1:10" x14ac:dyDescent="0.3">
      <c r="A158" s="1">
        <f>Acrescentar1[[#This Row],[Data_Mov]]</f>
        <v>45614</v>
      </c>
      <c r="B158" s="1" t="str">
        <f>Acrescentar1[[#This Row],[Mês]]</f>
        <v>Novembro</v>
      </c>
      <c r="C158" s="33">
        <f>Acrescentar1[[#This Row],[Ano]]</f>
        <v>2024</v>
      </c>
      <c r="D158" t="str">
        <f>VLOOKUP(Tbl_operations[[#This Row],[Categoria]],$N$3:$O$111,2,0)</f>
        <v>PAI-DIRCE</v>
      </c>
      <c r="E158" t="str">
        <f>Acrescentar1[[#This Row],[Coluna2]]</f>
        <v>DEB WHATS</v>
      </c>
      <c r="F158" t="str">
        <f>Acrescentar1[[#This Row],[Historico]]</f>
        <v>DEB WHATS</v>
      </c>
      <c r="G158" s="6">
        <f>IF(Tbl_operations[[#This Row],[Operação Bancária]]="D",Acrescentar1[[#This Row],[Valor]]/100,Acrescentar1[[#This Row],[Valor]]/100)</f>
        <v>4</v>
      </c>
      <c r="H158" t="str">
        <f>Acrescentar1[[#This Row],[Deb_Cred]]</f>
        <v>D</v>
      </c>
      <c r="I158">
        <f>IF(Tbl_operations[[#This Row],[Status]]="POUPANÇA",Controller!$H$17,0)</f>
        <v>0</v>
      </c>
      <c r="J158" t="str">
        <f>IF(Tbl_operations[[#This Row],[Operação Bancária]]="C", "ENTRADA",IF(Tbl_operations[[#This Row],[Operação Bancária]]="P","POUPANÇA","SAIDA"))</f>
        <v>SAIDA</v>
      </c>
    </row>
    <row r="159" spans="1:10" x14ac:dyDescent="0.3">
      <c r="A159" s="1">
        <f>Acrescentar1[[#This Row],[Data_Mov]]</f>
        <v>45614</v>
      </c>
      <c r="B159" s="1" t="str">
        <f>Acrescentar1[[#This Row],[Mês]]</f>
        <v>Novembro</v>
      </c>
      <c r="C159" s="33">
        <f>Acrescentar1[[#This Row],[Ano]]</f>
        <v>2024</v>
      </c>
      <c r="D159" t="str">
        <f>VLOOKUP(Tbl_operations[[#This Row],[Categoria]],$N$3:$O$111,2,0)</f>
        <v>SUPERMERCADO</v>
      </c>
      <c r="E159" t="str">
        <f>Acrescentar1[[#This Row],[Coluna2]]</f>
        <v>DIA FRANQUIA LJ 9</v>
      </c>
      <c r="F159" t="str">
        <f>Acrescentar1[[#This Row],[Historico]]</f>
        <v>COMPRA</v>
      </c>
      <c r="G159" s="6">
        <f>IF(Tbl_operations[[#This Row],[Operação Bancária]]="D",Acrescentar1[[#This Row],[Valor]]/100,Acrescentar1[[#This Row],[Valor]]/100)</f>
        <v>9.98</v>
      </c>
      <c r="H159" t="str">
        <f>Acrescentar1[[#This Row],[Deb_Cred]]</f>
        <v>D</v>
      </c>
      <c r="I159">
        <f>IF(Tbl_operations[[#This Row],[Status]]="POUPANÇA",Controller!$H$17,0)</f>
        <v>0</v>
      </c>
      <c r="J159" t="str">
        <f>IF(Tbl_operations[[#This Row],[Operação Bancária]]="C", "ENTRADA",IF(Tbl_operations[[#This Row],[Operação Bancária]]="P","POUPANÇA","SAIDA"))</f>
        <v>SAIDA</v>
      </c>
    </row>
    <row r="160" spans="1:10" x14ac:dyDescent="0.3">
      <c r="A160" s="1">
        <f>Acrescentar1[[#This Row],[Data_Mov]]</f>
        <v>45614</v>
      </c>
      <c r="B160" s="1" t="str">
        <f>Acrescentar1[[#This Row],[Mês]]</f>
        <v>Novembro</v>
      </c>
      <c r="C160" s="33">
        <f>Acrescentar1[[#This Row],[Ano]]</f>
        <v>2024</v>
      </c>
      <c r="D160" t="str">
        <f>VLOOKUP(Tbl_operations[[#This Row],[Categoria]],$N$3:$O$111,2,0)</f>
        <v>SALDO</v>
      </c>
      <c r="E160" t="str">
        <f>Acrescentar1[[#This Row],[Coluna2]]</f>
        <v>SALDO DIA</v>
      </c>
      <c r="F160" t="str">
        <f>Acrescentar1[[#This Row],[Historico]]</f>
        <v>SALDO DIA</v>
      </c>
      <c r="G160" s="6">
        <f>IF(Tbl_operations[[#This Row],[Operação Bancária]]="D",Acrescentar1[[#This Row],[Valor]]/100,Acrescentar1[[#This Row],[Valor]]/100)</f>
        <v>0</v>
      </c>
      <c r="H160" t="str">
        <f>Acrescentar1[[#This Row],[Deb_Cred]]</f>
        <v>D</v>
      </c>
      <c r="I160">
        <f>IF(Tbl_operations[[#This Row],[Status]]="POUPANÇA",Controller!$H$17,0)</f>
        <v>0</v>
      </c>
      <c r="J160" t="str">
        <f>IF(Tbl_operations[[#This Row],[Operação Bancária]]="C", "ENTRADA",IF(Tbl_operations[[#This Row],[Operação Bancária]]="P","POUPANÇA","SAIDA"))</f>
        <v>SAIDA</v>
      </c>
    </row>
    <row r="161" spans="1:10" x14ac:dyDescent="0.3">
      <c r="A161" s="1">
        <f>Acrescentar1[[#This Row],[Data_Mov]]</f>
        <v>45615</v>
      </c>
      <c r="B161" s="1" t="str">
        <f>Acrescentar1[[#This Row],[Mês]]</f>
        <v>Novembro</v>
      </c>
      <c r="C161" s="33">
        <f>Acrescentar1[[#This Row],[Ano]]</f>
        <v>2024</v>
      </c>
      <c r="D161" t="str">
        <f>VLOOKUP(Tbl_operations[[#This Row],[Categoria]],$N$3:$O$111,2,0)</f>
        <v>COMBUSTIVEL</v>
      </c>
      <c r="E161" t="str">
        <f>Acrescentar1[[#This Row],[Coluna2]]</f>
        <v>AutoPostoRecanto</v>
      </c>
      <c r="F161" t="str">
        <f>Acrescentar1[[#This Row],[Historico]]</f>
        <v>COMPRA</v>
      </c>
      <c r="G161" s="6">
        <f>IF(Tbl_operations[[#This Row],[Operação Bancária]]="D",Acrescentar1[[#This Row],[Valor]]/100,Acrescentar1[[#This Row],[Valor]]/100)</f>
        <v>11</v>
      </c>
      <c r="H161" t="str">
        <f>Acrescentar1[[#This Row],[Deb_Cred]]</f>
        <v>D</v>
      </c>
      <c r="I161">
        <f>IF(Tbl_operations[[#This Row],[Status]]="POUPANÇA",Controller!$H$17,0)</f>
        <v>0</v>
      </c>
      <c r="J161" t="str">
        <f>IF(Tbl_operations[[#This Row],[Operação Bancária]]="C", "ENTRADA",IF(Tbl_operations[[#This Row],[Operação Bancária]]="P","POUPANÇA","SAIDA"))</f>
        <v>SAIDA</v>
      </c>
    </row>
    <row r="162" spans="1:10" x14ac:dyDescent="0.3">
      <c r="A162" s="1">
        <f>Acrescentar1[[#This Row],[Data_Mov]]</f>
        <v>45615</v>
      </c>
      <c r="B162" s="1" t="str">
        <f>Acrescentar1[[#This Row],[Mês]]</f>
        <v>Novembro</v>
      </c>
      <c r="C162" s="33">
        <f>Acrescentar1[[#This Row],[Ano]]</f>
        <v>2024</v>
      </c>
      <c r="D162" t="str">
        <f>VLOOKUP(Tbl_operations[[#This Row],[Categoria]],$N$3:$O$111,2,0)</f>
        <v>DEPOSITO</v>
      </c>
      <c r="E162" t="str">
        <f>Acrescentar1[[#This Row],[Coluna2]]</f>
        <v>DEP DIN AG</v>
      </c>
      <c r="F162" t="str">
        <f>Acrescentar1[[#This Row],[Historico]]</f>
        <v>DEP DIN AG</v>
      </c>
      <c r="G162" s="6">
        <f>IF(Tbl_operations[[#This Row],[Operação Bancária]]="D",Acrescentar1[[#This Row],[Valor]]/100,Acrescentar1[[#This Row],[Valor]]/100)</f>
        <v>50</v>
      </c>
      <c r="H162" t="str">
        <f>Acrescentar1[[#This Row],[Deb_Cred]]</f>
        <v>C</v>
      </c>
      <c r="I162">
        <f>IF(Tbl_operations[[#This Row],[Status]]="POUPANÇA",Controller!$H$17,0)</f>
        <v>0</v>
      </c>
      <c r="J162" t="str">
        <f>IF(Tbl_operations[[#This Row],[Operação Bancária]]="C", "ENTRADA",IF(Tbl_operations[[#This Row],[Operação Bancária]]="P","POUPANÇA","SAIDA"))</f>
        <v>ENTRADA</v>
      </c>
    </row>
    <row r="163" spans="1:10" x14ac:dyDescent="0.3">
      <c r="A163" s="1">
        <f>Acrescentar1[[#This Row],[Data_Mov]]</f>
        <v>45615</v>
      </c>
      <c r="B163" s="1" t="str">
        <f>Acrescentar1[[#This Row],[Mês]]</f>
        <v>Novembro</v>
      </c>
      <c r="C163" s="33">
        <f>Acrescentar1[[#This Row],[Ano]]</f>
        <v>2024</v>
      </c>
      <c r="D163" t="str">
        <f>VLOOKUP(Tbl_operations[[#This Row],[Categoria]],$N$3:$O$111,2,0)</f>
        <v>COMBUSTIVEL</v>
      </c>
      <c r="E163" t="str">
        <f>Acrescentar1[[#This Row],[Coluna2]]</f>
        <v>PParada</v>
      </c>
      <c r="F163" t="str">
        <f>Acrescentar1[[#This Row],[Historico]]</f>
        <v>COMPRA</v>
      </c>
      <c r="G163" s="6">
        <f>IF(Tbl_operations[[#This Row],[Operação Bancária]]="D",Acrescentar1[[#This Row],[Valor]]/100,Acrescentar1[[#This Row],[Valor]]/100)</f>
        <v>50</v>
      </c>
      <c r="H163" t="str">
        <f>Acrescentar1[[#This Row],[Deb_Cred]]</f>
        <v>D</v>
      </c>
      <c r="I163">
        <f>IF(Tbl_operations[[#This Row],[Status]]="POUPANÇA",Controller!$H$17,0)</f>
        <v>0</v>
      </c>
      <c r="J163" t="str">
        <f>IF(Tbl_operations[[#This Row],[Operação Bancária]]="C", "ENTRADA",IF(Tbl_operations[[#This Row],[Operação Bancária]]="P","POUPANÇA","SAIDA"))</f>
        <v>SAIDA</v>
      </c>
    </row>
    <row r="164" spans="1:10" x14ac:dyDescent="0.3">
      <c r="A164" s="1">
        <f>Acrescentar1[[#This Row],[Data_Mov]]</f>
        <v>45615</v>
      </c>
      <c r="B164" s="1" t="str">
        <f>Acrescentar1[[#This Row],[Mês]]</f>
        <v>Novembro</v>
      </c>
      <c r="C164" s="33">
        <f>Acrescentar1[[#This Row],[Ano]]</f>
        <v>2024</v>
      </c>
      <c r="D164" t="str">
        <f>VLOOKUP(Tbl_operations[[#This Row],[Categoria]],$N$3:$O$111,2,0)</f>
        <v>SALDO</v>
      </c>
      <c r="E164" t="str">
        <f>Acrescentar1[[#This Row],[Coluna2]]</f>
        <v>SALDO DIA</v>
      </c>
      <c r="F164" t="str">
        <f>Acrescentar1[[#This Row],[Historico]]</f>
        <v>SALDO DIA</v>
      </c>
      <c r="G164" s="6">
        <f>IF(Tbl_operations[[#This Row],[Operação Bancária]]="D",Acrescentar1[[#This Row],[Valor]]/100,Acrescentar1[[#This Row],[Valor]]/100)</f>
        <v>0</v>
      </c>
      <c r="H164" t="str">
        <f>Acrescentar1[[#This Row],[Deb_Cred]]</f>
        <v>D</v>
      </c>
      <c r="I164">
        <f>IF(Tbl_operations[[#This Row],[Status]]="POUPANÇA",Controller!$H$17,0)</f>
        <v>0</v>
      </c>
      <c r="J164" t="str">
        <f>IF(Tbl_operations[[#This Row],[Operação Bancária]]="C", "ENTRADA",IF(Tbl_operations[[#This Row],[Operação Bancária]]="P","POUPANÇA","SAIDA"))</f>
        <v>SAIDA</v>
      </c>
    </row>
    <row r="165" spans="1:10" x14ac:dyDescent="0.3">
      <c r="A165" s="1">
        <f>Acrescentar1[[#This Row],[Data_Mov]]</f>
        <v>45617</v>
      </c>
      <c r="B165" s="1" t="str">
        <f>Acrescentar1[[#This Row],[Mês]]</f>
        <v>Novembro</v>
      </c>
      <c r="C165" s="33">
        <f>Acrescentar1[[#This Row],[Ano]]</f>
        <v>2024</v>
      </c>
      <c r="D165" t="str">
        <f>VLOOKUP(Tbl_operations[[#This Row],[Categoria]],$N$3:$O$111,2,0)</f>
        <v>SALARIO</v>
      </c>
      <c r="E165" t="str">
        <f>Acrescentar1[[#This Row],[Coluna2]]</f>
        <v>SALARIO</v>
      </c>
      <c r="F165" t="str">
        <f>Acrescentar1[[#This Row],[Historico]]</f>
        <v>SALARIO</v>
      </c>
      <c r="G165" s="6">
        <f>IF(Tbl_operations[[#This Row],[Operação Bancária]]="D",Acrescentar1[[#This Row],[Valor]]/100,Acrescentar1[[#This Row],[Valor]]/100)</f>
        <v>8017.39</v>
      </c>
      <c r="H165" t="str">
        <f>Acrescentar1[[#This Row],[Deb_Cred]]</f>
        <v>C</v>
      </c>
      <c r="I165">
        <f>IF(Tbl_operations[[#This Row],[Status]]="POUPANÇA",Controller!$H$17,0)</f>
        <v>0</v>
      </c>
      <c r="J165" t="str">
        <f>IF(Tbl_operations[[#This Row],[Operação Bancária]]="C", "ENTRADA",IF(Tbl_operations[[#This Row],[Operação Bancária]]="P","POUPANÇA","SAIDA"))</f>
        <v>ENTRADA</v>
      </c>
    </row>
    <row r="166" spans="1:10" x14ac:dyDescent="0.3">
      <c r="A166" s="1">
        <f>Acrescentar1[[#This Row],[Data_Mov]]</f>
        <v>45617</v>
      </c>
      <c r="B166" s="1" t="str">
        <f>Acrescentar1[[#This Row],[Mês]]</f>
        <v>Novembro</v>
      </c>
      <c r="C166" s="33">
        <f>Acrescentar1[[#This Row],[Ano]]</f>
        <v>2024</v>
      </c>
      <c r="D166" t="str">
        <f>VLOOKUP(Tbl_operations[[#This Row],[Categoria]],$N$3:$O$111,2,0)</f>
        <v>EMPRESTIMO</v>
      </c>
      <c r="E166" t="str">
        <f>Acrescentar1[[#This Row],[Coluna2]]</f>
        <v>PREST CDC</v>
      </c>
      <c r="F166" t="str">
        <f>Acrescentar1[[#This Row],[Historico]]</f>
        <v>PREST CDC</v>
      </c>
      <c r="G166" s="6">
        <f>IF(Tbl_operations[[#This Row],[Operação Bancária]]="D",Acrescentar1[[#This Row],[Valor]]/100,Acrescentar1[[#This Row],[Valor]]/100)</f>
        <v>561.75</v>
      </c>
      <c r="H166" t="str">
        <f>Acrescentar1[[#This Row],[Deb_Cred]]</f>
        <v>D</v>
      </c>
      <c r="I166">
        <f>IF(Tbl_operations[[#This Row],[Status]]="POUPANÇA",Controller!$H$17,0)</f>
        <v>0</v>
      </c>
      <c r="J166" t="str">
        <f>IF(Tbl_operations[[#This Row],[Operação Bancária]]="C", "ENTRADA",IF(Tbl_operations[[#This Row],[Operação Bancária]]="P","POUPANÇA","SAIDA"))</f>
        <v>SAIDA</v>
      </c>
    </row>
    <row r="167" spans="1:10" x14ac:dyDescent="0.3">
      <c r="A167" s="1">
        <f>Acrescentar1[[#This Row],[Data_Mov]]</f>
        <v>45617</v>
      </c>
      <c r="B167" s="1" t="str">
        <f>Acrescentar1[[#This Row],[Mês]]</f>
        <v>Novembro</v>
      </c>
      <c r="C167" s="33">
        <f>Acrescentar1[[#This Row],[Ano]]</f>
        <v>2024</v>
      </c>
      <c r="D167" t="str">
        <f>VLOOKUP(Tbl_operations[[#This Row],[Categoria]],$N$3:$O$111,2,0)</f>
        <v>DEBITO</v>
      </c>
      <c r="E167" t="str">
        <f>Acrescentar1[[#This Row],[Coluna2]]</f>
        <v>DB AP POUP</v>
      </c>
      <c r="F167" t="str">
        <f>Acrescentar1[[#This Row],[Historico]]</f>
        <v>DB AP POUP</v>
      </c>
      <c r="G167" s="6">
        <f>IF(Tbl_operations[[#This Row],[Operação Bancária]]="D",Acrescentar1[[#This Row],[Valor]]/100,Acrescentar1[[#This Row],[Valor]]/100)</f>
        <v>6350</v>
      </c>
      <c r="H167" t="str">
        <f>Acrescentar1[[#This Row],[Deb_Cred]]</f>
        <v>D</v>
      </c>
      <c r="I167">
        <f>IF(Tbl_operations[[#This Row],[Status]]="POUPANÇA",Controller!$H$17,0)</f>
        <v>0</v>
      </c>
      <c r="J167" t="str">
        <f>IF(Tbl_operations[[#This Row],[Operação Bancária]]="C", "ENTRADA",IF(Tbl_operations[[#This Row],[Operação Bancária]]="P","POUPANÇA","SAIDA"))</f>
        <v>SAIDA</v>
      </c>
    </row>
    <row r="168" spans="1:10" x14ac:dyDescent="0.3">
      <c r="A168" s="1">
        <f>Acrescentar1[[#This Row],[Data_Mov]]</f>
        <v>45617</v>
      </c>
      <c r="B168" s="1" t="str">
        <f>Acrescentar1[[#This Row],[Mês]]</f>
        <v>Novembro</v>
      </c>
      <c r="C168" s="33">
        <f>Acrescentar1[[#This Row],[Ano]]</f>
        <v>2024</v>
      </c>
      <c r="D168" t="str">
        <f>VLOOKUP(Tbl_operations[[#This Row],[Categoria]],$N$3:$O$111,2,0)</f>
        <v>SUPERMERCADO</v>
      </c>
      <c r="E168" t="str">
        <f>Acrescentar1[[#This Row],[Coluna2]]</f>
        <v>ATACADAO 633 AS</v>
      </c>
      <c r="F168" t="str">
        <f>Acrescentar1[[#This Row],[Historico]]</f>
        <v>COMPRA</v>
      </c>
      <c r="G168" s="6">
        <f>IF(Tbl_operations[[#This Row],[Operação Bancária]]="D",Acrescentar1[[#This Row],[Valor]]/100,Acrescentar1[[#This Row],[Valor]]/100)</f>
        <v>658.99</v>
      </c>
      <c r="H168" t="str">
        <f>Acrescentar1[[#This Row],[Deb_Cred]]</f>
        <v>D</v>
      </c>
      <c r="I168">
        <f>IF(Tbl_operations[[#This Row],[Status]]="POUPANÇA",Controller!$H$17,0)</f>
        <v>0</v>
      </c>
      <c r="J168" t="str">
        <f>IF(Tbl_operations[[#This Row],[Operação Bancária]]="C", "ENTRADA",IF(Tbl_operations[[#This Row],[Operação Bancária]]="P","POUPANÇA","SAIDA"))</f>
        <v>SAIDA</v>
      </c>
    </row>
    <row r="169" spans="1:10" x14ac:dyDescent="0.3">
      <c r="A169" s="1">
        <f>Acrescentar1[[#This Row],[Data_Mov]]</f>
        <v>45617</v>
      </c>
      <c r="B169" s="1" t="str">
        <f>Acrescentar1[[#This Row],[Mês]]</f>
        <v>Novembro</v>
      </c>
      <c r="C169" s="33">
        <f>Acrescentar1[[#This Row],[Ano]]</f>
        <v>2024</v>
      </c>
      <c r="D169" t="str">
        <f>VLOOKUP(Tbl_operations[[#This Row],[Categoria]],$N$3:$O$111,2,0)</f>
        <v>RESTAURANTE</v>
      </c>
      <c r="E169" t="str">
        <f>Acrescentar1[[#This Row],[Coluna2]]</f>
        <v>SAO JOAO CONVENIENCIA</v>
      </c>
      <c r="F169" t="str">
        <f>Acrescentar1[[#This Row],[Historico]]</f>
        <v>COMPRA</v>
      </c>
      <c r="G169" s="6">
        <f>IF(Tbl_operations[[#This Row],[Operação Bancária]]="D",Acrescentar1[[#This Row],[Valor]]/100,Acrescentar1[[#This Row],[Valor]]/100)</f>
        <v>100</v>
      </c>
      <c r="H169" t="str">
        <f>Acrescentar1[[#This Row],[Deb_Cred]]</f>
        <v>D</v>
      </c>
      <c r="I169">
        <f>IF(Tbl_operations[[#This Row],[Status]]="POUPANÇA",Controller!$H$17,0)</f>
        <v>0</v>
      </c>
      <c r="J169" t="str">
        <f>IF(Tbl_operations[[#This Row],[Operação Bancária]]="C", "ENTRADA",IF(Tbl_operations[[#This Row],[Operação Bancária]]="P","POUPANÇA","SAIDA"))</f>
        <v>SAIDA</v>
      </c>
    </row>
    <row r="170" spans="1:10" x14ac:dyDescent="0.3">
      <c r="A170" s="1">
        <f>Acrescentar1[[#This Row],[Data_Mov]]</f>
        <v>45617</v>
      </c>
      <c r="B170" s="1" t="str">
        <f>Acrescentar1[[#This Row],[Mês]]</f>
        <v>Novembro</v>
      </c>
      <c r="C170" s="33">
        <f>Acrescentar1[[#This Row],[Ano]]</f>
        <v>2024</v>
      </c>
      <c r="D170" t="str">
        <f>VLOOKUP(Tbl_operations[[#This Row],[Categoria]],$N$3:$O$111,2,0)</f>
        <v>PAI-DIRCE</v>
      </c>
      <c r="E170" t="str">
        <f>Acrescentar1[[#This Row],[Coluna2]]</f>
        <v>ENVIO PIX</v>
      </c>
      <c r="F170" t="str">
        <f>Acrescentar1[[#This Row],[Historico]]</f>
        <v>ENVIO PIX</v>
      </c>
      <c r="G170" s="6">
        <f>IF(Tbl_operations[[#This Row],[Operação Bancária]]="D",Acrescentar1[[#This Row],[Valor]]/100,Acrescentar1[[#This Row],[Valor]]/100)</f>
        <v>87.29</v>
      </c>
      <c r="H170" t="str">
        <f>Acrescentar1[[#This Row],[Deb_Cred]]</f>
        <v>D</v>
      </c>
      <c r="I170">
        <f>IF(Tbl_operations[[#This Row],[Status]]="POUPANÇA",Controller!$H$17,0)</f>
        <v>0</v>
      </c>
      <c r="J170" t="str">
        <f>IF(Tbl_operations[[#This Row],[Operação Bancária]]="C", "ENTRADA",IF(Tbl_operations[[#This Row],[Operação Bancária]]="P","POUPANÇA","SAIDA"))</f>
        <v>SAIDA</v>
      </c>
    </row>
    <row r="171" spans="1:10" x14ac:dyDescent="0.3">
      <c r="A171" s="1">
        <f>Acrescentar1[[#This Row],[Data_Mov]]</f>
        <v>45617</v>
      </c>
      <c r="B171" s="1" t="str">
        <f>Acrescentar1[[#This Row],[Mês]]</f>
        <v>Novembro</v>
      </c>
      <c r="C171" s="33">
        <f>Acrescentar1[[#This Row],[Ano]]</f>
        <v>2024</v>
      </c>
      <c r="D171" t="str">
        <f>VLOOKUP(Tbl_operations[[#This Row],[Categoria]],$N$3:$O$111,2,0)</f>
        <v>SEGURO</v>
      </c>
      <c r="E171" t="str">
        <f>Acrescentar1[[#This Row],[Coluna2]]</f>
        <v>SEGURADORA</v>
      </c>
      <c r="F171" t="str">
        <f>Acrescentar1[[#This Row],[Historico]]</f>
        <v>SEGURADORA</v>
      </c>
      <c r="G171" s="6">
        <f>IF(Tbl_operations[[#This Row],[Operação Bancária]]="D",Acrescentar1[[#This Row],[Valor]]/100,Acrescentar1[[#This Row],[Valor]]/100)</f>
        <v>76.41</v>
      </c>
      <c r="H171" t="str">
        <f>Acrescentar1[[#This Row],[Deb_Cred]]</f>
        <v>D</v>
      </c>
      <c r="I171">
        <f>IF(Tbl_operations[[#This Row],[Status]]="POUPANÇA",Controller!$H$17,0)</f>
        <v>0</v>
      </c>
      <c r="J171" t="str">
        <f>IF(Tbl_operations[[#This Row],[Operação Bancária]]="C", "ENTRADA",IF(Tbl_operations[[#This Row],[Operação Bancária]]="P","POUPANÇA","SAIDA"))</f>
        <v>SAIDA</v>
      </c>
    </row>
    <row r="172" spans="1:10" x14ac:dyDescent="0.3">
      <c r="A172" s="1">
        <f>Acrescentar1[[#This Row],[Data_Mov]]</f>
        <v>45617</v>
      </c>
      <c r="B172" s="1" t="str">
        <f>Acrescentar1[[#This Row],[Mês]]</f>
        <v>Novembro</v>
      </c>
      <c r="C172" s="33">
        <f>Acrescentar1[[#This Row],[Ano]]</f>
        <v>2024</v>
      </c>
      <c r="D172" t="str">
        <f>VLOOKUP(Tbl_operations[[#This Row],[Categoria]],$N$3:$O$111,2,0)</f>
        <v>PAI-DIRCE</v>
      </c>
      <c r="E172" t="str">
        <f>Acrescentar1[[#This Row],[Coluna2]]</f>
        <v>ENVIO PIX</v>
      </c>
      <c r="F172" t="str">
        <f>Acrescentar1[[#This Row],[Historico]]</f>
        <v>ENVIO PIX</v>
      </c>
      <c r="G172" s="6">
        <f>IF(Tbl_operations[[#This Row],[Operação Bancária]]="D",Acrescentar1[[#This Row],[Valor]]/100,Acrescentar1[[#This Row],[Valor]]/100)</f>
        <v>38.97</v>
      </c>
      <c r="H172" t="str">
        <f>Acrescentar1[[#This Row],[Deb_Cred]]</f>
        <v>D</v>
      </c>
      <c r="I172">
        <f>IF(Tbl_operations[[#This Row],[Status]]="POUPANÇA",Controller!$H$17,0)</f>
        <v>0</v>
      </c>
      <c r="J172" t="str">
        <f>IF(Tbl_operations[[#This Row],[Operação Bancária]]="C", "ENTRADA",IF(Tbl_operations[[#This Row],[Operação Bancária]]="P","POUPANÇA","SAIDA"))</f>
        <v>SAIDA</v>
      </c>
    </row>
    <row r="173" spans="1:10" x14ac:dyDescent="0.3">
      <c r="A173" s="1">
        <f>Acrescentar1[[#This Row],[Data_Mov]]</f>
        <v>45617</v>
      </c>
      <c r="B173" s="1" t="str">
        <f>Acrescentar1[[#This Row],[Mês]]</f>
        <v>Novembro</v>
      </c>
      <c r="C173" s="33">
        <f>Acrescentar1[[#This Row],[Ano]]</f>
        <v>2024</v>
      </c>
      <c r="D173" t="str">
        <f>VLOOKUP(Tbl_operations[[#This Row],[Categoria]],$N$3:$O$111,2,0)</f>
        <v>PAI-DIRCE</v>
      </c>
      <c r="E173" t="str">
        <f>Acrescentar1[[#This Row],[Coluna2]]</f>
        <v>ENVIO PIX</v>
      </c>
      <c r="F173" t="str">
        <f>Acrescentar1[[#This Row],[Historico]]</f>
        <v>ENVIO PIX</v>
      </c>
      <c r="G173" s="6">
        <f>IF(Tbl_operations[[#This Row],[Operação Bancária]]="D",Acrescentar1[[#This Row],[Valor]]/100,Acrescentar1[[#This Row],[Valor]]/100)</f>
        <v>38.89</v>
      </c>
      <c r="H173" t="str">
        <f>Acrescentar1[[#This Row],[Deb_Cred]]</f>
        <v>D</v>
      </c>
      <c r="I173">
        <f>IF(Tbl_operations[[#This Row],[Status]]="POUPANÇA",Controller!$H$17,0)</f>
        <v>0</v>
      </c>
      <c r="J173" t="str">
        <f>IF(Tbl_operations[[#This Row],[Operação Bancária]]="C", "ENTRADA",IF(Tbl_operations[[#This Row],[Operação Bancária]]="P","POUPANÇA","SAIDA"))</f>
        <v>SAIDA</v>
      </c>
    </row>
    <row r="174" spans="1:10" x14ac:dyDescent="0.3">
      <c r="A174" s="1">
        <f>Acrescentar1[[#This Row],[Data_Mov]]</f>
        <v>45617</v>
      </c>
      <c r="B174" s="1" t="str">
        <f>Acrescentar1[[#This Row],[Mês]]</f>
        <v>Novembro</v>
      </c>
      <c r="C174" s="33">
        <f>Acrescentar1[[#This Row],[Ano]]</f>
        <v>2024</v>
      </c>
      <c r="D174" t="str">
        <f>VLOOKUP(Tbl_operations[[#This Row],[Categoria]],$N$3:$O$111,2,0)</f>
        <v>SALARIO</v>
      </c>
      <c r="E174" t="str">
        <f>Acrescentar1[[#This Row],[Coluna2]]</f>
        <v>CR RG POUP</v>
      </c>
      <c r="F174" t="str">
        <f>Acrescentar1[[#This Row],[Historico]]</f>
        <v>CR RG POUP</v>
      </c>
      <c r="G174" s="6">
        <f>IF(Tbl_operations[[#This Row],[Operação Bancária]]="D",Acrescentar1[[#This Row],[Valor]]/100,Acrescentar1[[#This Row],[Valor]]/100)</f>
        <v>5000</v>
      </c>
      <c r="H174" t="str">
        <f>Acrescentar1[[#This Row],[Deb_Cred]]</f>
        <v>C</v>
      </c>
      <c r="I174">
        <f>IF(Tbl_operations[[#This Row],[Status]]="POUPANÇA",Controller!$H$17,0)</f>
        <v>0</v>
      </c>
      <c r="J174" t="str">
        <f>IF(Tbl_operations[[#This Row],[Operação Bancária]]="C", "ENTRADA",IF(Tbl_operations[[#This Row],[Operação Bancária]]="P","POUPANÇA","SAIDA"))</f>
        <v>ENTRADA</v>
      </c>
    </row>
    <row r="175" spans="1:10" x14ac:dyDescent="0.3">
      <c r="A175" s="1">
        <f>Acrescentar1[[#This Row],[Data_Mov]]</f>
        <v>45617</v>
      </c>
      <c r="B175" s="1" t="str">
        <f>Acrescentar1[[#This Row],[Mês]]</f>
        <v>Novembro</v>
      </c>
      <c r="C175" s="33">
        <f>Acrescentar1[[#This Row],[Ano]]</f>
        <v>2024</v>
      </c>
      <c r="D175" t="str">
        <f>VLOOKUP(Tbl_operations[[#This Row],[Categoria]],$N$3:$O$111,2,0)</f>
        <v>PAG BOLETO</v>
      </c>
      <c r="E175" t="str">
        <f>Acrescentar1[[#This Row],[Coluna2]]</f>
        <v>PAG BOLETO</v>
      </c>
      <c r="F175" t="str">
        <f>Acrescentar1[[#This Row],[Historico]]</f>
        <v>PAG BOLETO</v>
      </c>
      <c r="G175" s="6">
        <f>IF(Tbl_operations[[#This Row],[Operação Bancária]]="D",Acrescentar1[[#This Row],[Valor]]/100,Acrescentar1[[#This Row],[Valor]]/100)</f>
        <v>2494.25</v>
      </c>
      <c r="H175" t="str">
        <f>Acrescentar1[[#This Row],[Deb_Cred]]</f>
        <v>D</v>
      </c>
      <c r="I175">
        <f>IF(Tbl_operations[[#This Row],[Status]]="POUPANÇA",Controller!$H$17,0)</f>
        <v>0</v>
      </c>
      <c r="J175" t="str">
        <f>IF(Tbl_operations[[#This Row],[Operação Bancária]]="C", "ENTRADA",IF(Tbl_operations[[#This Row],[Operação Bancária]]="P","POUPANÇA","SAIDA"))</f>
        <v>SAIDA</v>
      </c>
    </row>
    <row r="176" spans="1:10" x14ac:dyDescent="0.3">
      <c r="A176" s="1">
        <f>Acrescentar1[[#This Row],[Data_Mov]]</f>
        <v>45617</v>
      </c>
      <c r="B176" s="1" t="str">
        <f>Acrescentar1[[#This Row],[Mês]]</f>
        <v>Novembro</v>
      </c>
      <c r="C176" s="33">
        <f>Acrescentar1[[#This Row],[Ano]]</f>
        <v>2024</v>
      </c>
      <c r="D176" t="str">
        <f>VLOOKUP(Tbl_operations[[#This Row],[Categoria]],$N$3:$O$111,2,0)</f>
        <v>PAG BOLETO</v>
      </c>
      <c r="E176" t="str">
        <f>Acrescentar1[[#This Row],[Coluna2]]</f>
        <v>PAG BOLETO</v>
      </c>
      <c r="F176" t="str">
        <f>Acrescentar1[[#This Row],[Historico]]</f>
        <v>PAG BOLETO</v>
      </c>
      <c r="G176" s="6">
        <f>IF(Tbl_operations[[#This Row],[Operação Bancária]]="D",Acrescentar1[[#This Row],[Valor]]/100,Acrescentar1[[#This Row],[Valor]]/100)</f>
        <v>1021.98</v>
      </c>
      <c r="H176" t="str">
        <f>Acrescentar1[[#This Row],[Deb_Cred]]</f>
        <v>D</v>
      </c>
      <c r="I176">
        <f>IF(Tbl_operations[[#This Row],[Status]]="POUPANÇA",Controller!$H$17,0)</f>
        <v>0</v>
      </c>
      <c r="J176" t="str">
        <f>IF(Tbl_operations[[#This Row],[Operação Bancária]]="C", "ENTRADA",IF(Tbl_operations[[#This Row],[Operação Bancária]]="P","POUPANÇA","SAIDA"))</f>
        <v>SAIDA</v>
      </c>
    </row>
    <row r="177" spans="1:10" x14ac:dyDescent="0.3">
      <c r="A177" s="1">
        <f>Acrescentar1[[#This Row],[Data_Mov]]</f>
        <v>45617</v>
      </c>
      <c r="B177" s="1" t="str">
        <f>Acrescentar1[[#This Row],[Mês]]</f>
        <v>Novembro</v>
      </c>
      <c r="C177" s="33">
        <f>Acrescentar1[[#This Row],[Ano]]</f>
        <v>2024</v>
      </c>
      <c r="D177" t="str">
        <f>VLOOKUP(Tbl_operations[[#This Row],[Categoria]],$N$3:$O$111,2,0)</f>
        <v>AGUA</v>
      </c>
      <c r="E177" t="str">
        <f>Acrescentar1[[#This Row],[Coluna2]]</f>
        <v>PAG AGUA</v>
      </c>
      <c r="F177" t="str">
        <f>Acrescentar1[[#This Row],[Historico]]</f>
        <v>PAG AGUA</v>
      </c>
      <c r="G177" s="6">
        <f>IF(Tbl_operations[[#This Row],[Operação Bancária]]="D",Acrescentar1[[#This Row],[Valor]]/100,Acrescentar1[[#This Row],[Valor]]/100)</f>
        <v>116.78</v>
      </c>
      <c r="H177" t="str">
        <f>Acrescentar1[[#This Row],[Deb_Cred]]</f>
        <v>D</v>
      </c>
      <c r="I177">
        <f>IF(Tbl_operations[[#This Row],[Status]]="POUPANÇA",Controller!$H$17,0)</f>
        <v>0</v>
      </c>
      <c r="J177" t="str">
        <f>IF(Tbl_operations[[#This Row],[Operação Bancária]]="C", "ENTRADA",IF(Tbl_operations[[#This Row],[Operação Bancária]]="P","POUPANÇA","SAIDA"))</f>
        <v>SAIDA</v>
      </c>
    </row>
    <row r="178" spans="1:10" x14ac:dyDescent="0.3">
      <c r="A178" s="1">
        <f>Acrescentar1[[#This Row],[Data_Mov]]</f>
        <v>45617</v>
      </c>
      <c r="B178" s="1" t="str">
        <f>Acrescentar1[[#This Row],[Mês]]</f>
        <v>Novembro</v>
      </c>
      <c r="C178" s="33">
        <f>Acrescentar1[[#This Row],[Ano]]</f>
        <v>2024</v>
      </c>
      <c r="D178" t="str">
        <f>VLOOKUP(Tbl_operations[[#This Row],[Categoria]],$N$3:$O$111,2,0)</f>
        <v>LUZ</v>
      </c>
      <c r="E178" t="str">
        <f>Acrescentar1[[#This Row],[Coluna2]]</f>
        <v>PG LUZ/GAS</v>
      </c>
      <c r="F178" t="str">
        <f>Acrescentar1[[#This Row],[Historico]]</f>
        <v>PG LUZ/GAS</v>
      </c>
      <c r="G178" s="6">
        <f>IF(Tbl_operations[[#This Row],[Operação Bancária]]="D",Acrescentar1[[#This Row],[Valor]]/100,Acrescentar1[[#This Row],[Valor]]/100)</f>
        <v>285.7</v>
      </c>
      <c r="H178" t="str">
        <f>Acrescentar1[[#This Row],[Deb_Cred]]</f>
        <v>D</v>
      </c>
      <c r="I178">
        <f>IF(Tbl_operations[[#This Row],[Status]]="POUPANÇA",Controller!$H$17,0)</f>
        <v>0</v>
      </c>
      <c r="J178" t="str">
        <f>IF(Tbl_operations[[#This Row],[Operação Bancária]]="C", "ENTRADA",IF(Tbl_operations[[#This Row],[Operação Bancária]]="P","POUPANÇA","SAIDA"))</f>
        <v>SAIDA</v>
      </c>
    </row>
    <row r="179" spans="1:10" x14ac:dyDescent="0.3">
      <c r="A179" s="1">
        <f>Acrescentar1[[#This Row],[Data_Mov]]</f>
        <v>45617</v>
      </c>
      <c r="B179" s="1" t="str">
        <f>Acrescentar1[[#This Row],[Mês]]</f>
        <v>Novembro</v>
      </c>
      <c r="C179" s="33">
        <f>Acrescentar1[[#This Row],[Ano]]</f>
        <v>2024</v>
      </c>
      <c r="D179" t="str">
        <f>VLOOKUP(Tbl_operations[[#This Row],[Categoria]],$N$3:$O$111,2,0)</f>
        <v>PAI-DIRCE</v>
      </c>
      <c r="E179" t="str">
        <f>Acrescentar1[[#This Row],[Coluna2]]</f>
        <v>ENVIO PIX</v>
      </c>
      <c r="F179" t="str">
        <f>Acrescentar1[[#This Row],[Historico]]</f>
        <v>ENVIO PIX</v>
      </c>
      <c r="G179" s="6">
        <f>IF(Tbl_operations[[#This Row],[Operação Bancária]]="D",Acrescentar1[[#This Row],[Valor]]/100,Acrescentar1[[#This Row],[Valor]]/100)</f>
        <v>129.9</v>
      </c>
      <c r="H179" t="str">
        <f>Acrescentar1[[#This Row],[Deb_Cred]]</f>
        <v>D</v>
      </c>
      <c r="I179">
        <f>IF(Tbl_operations[[#This Row],[Status]]="POUPANÇA",Controller!$H$17,0)</f>
        <v>0</v>
      </c>
      <c r="J179" t="str">
        <f>IF(Tbl_operations[[#This Row],[Operação Bancária]]="C", "ENTRADA",IF(Tbl_operations[[#This Row],[Operação Bancária]]="P","POUPANÇA","SAIDA"))</f>
        <v>SAIDA</v>
      </c>
    </row>
    <row r="180" spans="1:10" x14ac:dyDescent="0.3">
      <c r="A180" s="1">
        <f>Acrescentar1[[#This Row],[Data_Mov]]</f>
        <v>45617</v>
      </c>
      <c r="B180" s="1" t="str">
        <f>Acrescentar1[[#This Row],[Mês]]</f>
        <v>Novembro</v>
      </c>
      <c r="C180" s="33">
        <f>Acrescentar1[[#This Row],[Ano]]</f>
        <v>2024</v>
      </c>
      <c r="D180" t="str">
        <f>VLOOKUP(Tbl_operations[[#This Row],[Categoria]],$N$3:$O$111,2,0)</f>
        <v>PAI-DIRCE</v>
      </c>
      <c r="E180" t="str">
        <f>Acrescentar1[[#This Row],[Coluna2]]</f>
        <v>ENVIO PIX</v>
      </c>
      <c r="F180" t="str">
        <f>Acrescentar1[[#This Row],[Historico]]</f>
        <v>ENVIO PIX</v>
      </c>
      <c r="G180" s="6">
        <f>IF(Tbl_operations[[#This Row],[Operação Bancária]]="D",Acrescentar1[[#This Row],[Valor]]/100,Acrescentar1[[#This Row],[Valor]]/100)</f>
        <v>700</v>
      </c>
      <c r="H180" t="str">
        <f>Acrescentar1[[#This Row],[Deb_Cred]]</f>
        <v>D</v>
      </c>
      <c r="I180">
        <f>IF(Tbl_operations[[#This Row],[Status]]="POUPANÇA",Controller!$H$17,0)</f>
        <v>0</v>
      </c>
      <c r="J180" t="str">
        <f>IF(Tbl_operations[[#This Row],[Operação Bancária]]="C", "ENTRADA",IF(Tbl_operations[[#This Row],[Operação Bancária]]="P","POUPANÇA","SAIDA"))</f>
        <v>SAIDA</v>
      </c>
    </row>
    <row r="181" spans="1:10" x14ac:dyDescent="0.3">
      <c r="A181" s="1">
        <f>Acrescentar1[[#This Row],[Data_Mov]]</f>
        <v>45617</v>
      </c>
      <c r="B181" s="1" t="str">
        <f>Acrescentar1[[#This Row],[Mês]]</f>
        <v>Novembro</v>
      </c>
      <c r="C181" s="33">
        <f>Acrescentar1[[#This Row],[Ano]]</f>
        <v>2024</v>
      </c>
      <c r="D181" t="str">
        <f>VLOOKUP(Tbl_operations[[#This Row],[Categoria]],$N$3:$O$111,2,0)</f>
        <v>SALARIO</v>
      </c>
      <c r="E181" t="str">
        <f>Acrescentar1[[#This Row],[Coluna2]]</f>
        <v>CR RG POUP</v>
      </c>
      <c r="F181" t="str">
        <f>Acrescentar1[[#This Row],[Historico]]</f>
        <v>CR RG POUP</v>
      </c>
      <c r="G181" s="6">
        <f>IF(Tbl_operations[[#This Row],[Operação Bancária]]="D",Acrescentar1[[#This Row],[Valor]]/100,Acrescentar1[[#This Row],[Valor]]/100)</f>
        <v>750</v>
      </c>
      <c r="H181" t="str">
        <f>Acrescentar1[[#This Row],[Deb_Cred]]</f>
        <v>C</v>
      </c>
      <c r="I181">
        <f>IF(Tbl_operations[[#This Row],[Status]]="POUPANÇA",Controller!$H$17,0)</f>
        <v>0</v>
      </c>
      <c r="J181" t="str">
        <f>IF(Tbl_operations[[#This Row],[Operação Bancária]]="C", "ENTRADA",IF(Tbl_operations[[#This Row],[Operação Bancária]]="P","POUPANÇA","SAIDA"))</f>
        <v>ENTRADA</v>
      </c>
    </row>
    <row r="182" spans="1:10" x14ac:dyDescent="0.3">
      <c r="A182" s="1">
        <f>Acrescentar1[[#This Row],[Data_Mov]]</f>
        <v>45617</v>
      </c>
      <c r="B182" s="1" t="str">
        <f>Acrescentar1[[#This Row],[Mês]]</f>
        <v>Novembro</v>
      </c>
      <c r="C182" s="33">
        <f>Acrescentar1[[#This Row],[Ano]]</f>
        <v>2024</v>
      </c>
      <c r="D182" t="str">
        <f>VLOOKUP(Tbl_operations[[#This Row],[Categoria]],$N$3:$O$111,2,0)</f>
        <v>RESGATE INVEST</v>
      </c>
      <c r="E182" t="str">
        <f>Acrescentar1[[#This Row],[Coluna2]]</f>
        <v>CRB FPAY</v>
      </c>
      <c r="F182" t="str">
        <f>Acrescentar1[[#This Row],[Historico]]</f>
        <v>COMPRA</v>
      </c>
      <c r="G182" s="6">
        <f>IF(Tbl_operations[[#This Row],[Operação Bancária]]="D",Acrescentar1[[#This Row],[Valor]]/100,Acrescentar1[[#This Row],[Valor]]/100)</f>
        <v>10.1</v>
      </c>
      <c r="H182" t="str">
        <f>Acrescentar1[[#This Row],[Deb_Cred]]</f>
        <v>D</v>
      </c>
      <c r="I182">
        <f>IF(Tbl_operations[[#This Row],[Status]]="POUPANÇA",Controller!$H$17,0)</f>
        <v>0</v>
      </c>
      <c r="J182" t="str">
        <f>IF(Tbl_operations[[#This Row],[Operação Bancária]]="C", "ENTRADA",IF(Tbl_operations[[#This Row],[Operação Bancária]]="P","POUPANÇA","SAIDA"))</f>
        <v>SAIDA</v>
      </c>
    </row>
    <row r="183" spans="1:10" x14ac:dyDescent="0.3">
      <c r="A183" s="1">
        <f>Acrescentar1[[#This Row],[Data_Mov]]</f>
        <v>45617</v>
      </c>
      <c r="B183" s="1" t="str">
        <f>Acrescentar1[[#This Row],[Mês]]</f>
        <v>Novembro</v>
      </c>
      <c r="C183" s="33">
        <f>Acrescentar1[[#This Row],[Ano]]</f>
        <v>2024</v>
      </c>
      <c r="D183" t="str">
        <f>VLOOKUP(Tbl_operations[[#This Row],[Categoria]],$N$3:$O$111,2,0)</f>
        <v>SAQUE</v>
      </c>
      <c r="E183" t="str">
        <f>Acrescentar1[[#This Row],[Coluna2]]</f>
        <v>SAQ RECIBO</v>
      </c>
      <c r="F183" t="str">
        <f>Acrescentar1[[#This Row],[Historico]]</f>
        <v>SAQ RECIBO</v>
      </c>
      <c r="G183" s="6">
        <f>IF(Tbl_operations[[#This Row],[Operação Bancária]]="D",Acrescentar1[[#This Row],[Valor]]/100,Acrescentar1[[#This Row],[Valor]]/100)</f>
        <v>500</v>
      </c>
      <c r="H183" t="str">
        <f>Acrescentar1[[#This Row],[Deb_Cred]]</f>
        <v>D</v>
      </c>
      <c r="I183">
        <f>IF(Tbl_operations[[#This Row],[Status]]="POUPANÇA",Controller!$H$17,0)</f>
        <v>0</v>
      </c>
      <c r="J183" t="str">
        <f>IF(Tbl_operations[[#This Row],[Operação Bancária]]="C", "ENTRADA",IF(Tbl_operations[[#This Row],[Operação Bancária]]="P","POUPANÇA","SAIDA"))</f>
        <v>SAIDA</v>
      </c>
    </row>
    <row r="184" spans="1:10" x14ac:dyDescent="0.3">
      <c r="A184" s="1">
        <f>Acrescentar1[[#This Row],[Data_Mov]]</f>
        <v>45617</v>
      </c>
      <c r="B184" s="1" t="str">
        <f>Acrescentar1[[#This Row],[Mês]]</f>
        <v>Novembro</v>
      </c>
      <c r="C184" s="33">
        <f>Acrescentar1[[#This Row],[Ano]]</f>
        <v>2024</v>
      </c>
      <c r="D184" t="str">
        <f>VLOOKUP(Tbl_operations[[#This Row],[Categoria]],$N$3:$O$111,2,0)</f>
        <v>COMBUSTIVEL</v>
      </c>
      <c r="E184" t="str">
        <f>Acrescentar1[[#This Row],[Coluna2]]</f>
        <v>PParada</v>
      </c>
      <c r="F184" t="str">
        <f>Acrescentar1[[#This Row],[Historico]]</f>
        <v>COMPRA</v>
      </c>
      <c r="G184" s="6">
        <f>IF(Tbl_operations[[#This Row],[Operação Bancária]]="D",Acrescentar1[[#This Row],[Valor]]/100,Acrescentar1[[#This Row],[Valor]]/100)</f>
        <v>100</v>
      </c>
      <c r="H184" t="str">
        <f>Acrescentar1[[#This Row],[Deb_Cred]]</f>
        <v>D</v>
      </c>
      <c r="I184">
        <f>IF(Tbl_operations[[#This Row],[Status]]="POUPANÇA",Controller!$H$17,0)</f>
        <v>0</v>
      </c>
      <c r="J184" t="str">
        <f>IF(Tbl_operations[[#This Row],[Operação Bancária]]="C", "ENTRADA",IF(Tbl_operations[[#This Row],[Operação Bancária]]="P","POUPANÇA","SAIDA"))</f>
        <v>SAIDA</v>
      </c>
    </row>
    <row r="185" spans="1:10" x14ac:dyDescent="0.3">
      <c r="A185" s="1">
        <f>Acrescentar1[[#This Row],[Data_Mov]]</f>
        <v>45617</v>
      </c>
      <c r="B185" s="1" t="str">
        <f>Acrescentar1[[#This Row],[Mês]]</f>
        <v>Novembro</v>
      </c>
      <c r="C185" s="33">
        <f>Acrescentar1[[#This Row],[Ano]]</f>
        <v>2024</v>
      </c>
      <c r="D185" t="str">
        <f>VLOOKUP(Tbl_operations[[#This Row],[Categoria]],$N$3:$O$111,2,0)</f>
        <v>SUPERMERCADO</v>
      </c>
      <c r="E185" t="str">
        <f>Acrescentar1[[#This Row],[Coluna2]]</f>
        <v>DIA FRANQUIA LJ 9</v>
      </c>
      <c r="F185" t="str">
        <f>Acrescentar1[[#This Row],[Historico]]</f>
        <v>COMPRA</v>
      </c>
      <c r="G185" s="6">
        <f>IF(Tbl_operations[[#This Row],[Operação Bancária]]="D",Acrescentar1[[#This Row],[Valor]]/100,Acrescentar1[[#This Row],[Valor]]/100)</f>
        <v>38.94</v>
      </c>
      <c r="H185" t="str">
        <f>Acrescentar1[[#This Row],[Deb_Cred]]</f>
        <v>D</v>
      </c>
      <c r="I185">
        <f>IF(Tbl_operations[[#This Row],[Status]]="POUPANÇA",Controller!$H$17,0)</f>
        <v>0</v>
      </c>
      <c r="J185" t="str">
        <f>IF(Tbl_operations[[#This Row],[Operação Bancária]]="C", "ENTRADA",IF(Tbl_operations[[#This Row],[Operação Bancária]]="P","POUPANÇA","SAIDA"))</f>
        <v>SAIDA</v>
      </c>
    </row>
    <row r="186" spans="1:10" x14ac:dyDescent="0.3">
      <c r="A186" s="1">
        <f>Acrescentar1[[#This Row],[Data_Mov]]</f>
        <v>45617</v>
      </c>
      <c r="B186" s="1" t="str">
        <f>Acrescentar1[[#This Row],[Mês]]</f>
        <v>Novembro</v>
      </c>
      <c r="C186" s="33">
        <f>Acrescentar1[[#This Row],[Ano]]</f>
        <v>2024</v>
      </c>
      <c r="D186" t="str">
        <f>VLOOKUP(Tbl_operations[[#This Row],[Categoria]],$N$3:$O$111,2,0)</f>
        <v>SALDO</v>
      </c>
      <c r="E186" t="str">
        <f>Acrescentar1[[#This Row],[Coluna2]]</f>
        <v>SALDO DIA</v>
      </c>
      <c r="F186" t="str">
        <f>Acrescentar1[[#This Row],[Historico]]</f>
        <v>SALDO DIA</v>
      </c>
      <c r="G186" s="6">
        <f>IF(Tbl_operations[[#This Row],[Operação Bancária]]="D",Acrescentar1[[#This Row],[Valor]]/100,Acrescentar1[[#This Row],[Valor]]/100)</f>
        <v>0</v>
      </c>
      <c r="H186" t="str">
        <f>Acrescentar1[[#This Row],[Deb_Cred]]</f>
        <v>D</v>
      </c>
      <c r="I186">
        <f>IF(Tbl_operations[[#This Row],[Status]]="POUPANÇA",Controller!$H$17,0)</f>
        <v>0</v>
      </c>
      <c r="J186" t="str">
        <f>IF(Tbl_operations[[#This Row],[Operação Bancária]]="C", "ENTRADA",IF(Tbl_operations[[#This Row],[Operação Bancária]]="P","POUPANÇA","SAIDA"))</f>
        <v>SAIDA</v>
      </c>
    </row>
    <row r="187" spans="1:10" x14ac:dyDescent="0.3">
      <c r="A187" s="1">
        <f>Acrescentar1[[#This Row],[Data_Mov]]</f>
        <v>45618</v>
      </c>
      <c r="B187" s="1" t="str">
        <f>Acrescentar1[[#This Row],[Mês]]</f>
        <v>Novembro</v>
      </c>
      <c r="C187" s="33">
        <f>Acrescentar1[[#This Row],[Ano]]</f>
        <v>2024</v>
      </c>
      <c r="D187" t="str">
        <f>VLOOKUP(Tbl_operations[[#This Row],[Categoria]],$N$3:$O$111,2,0)</f>
        <v>PAI-DIRCE</v>
      </c>
      <c r="E187" t="str">
        <f>Acrescentar1[[#This Row],[Coluna2]]</f>
        <v>DEB WHATS</v>
      </c>
      <c r="F187" t="str">
        <f>Acrescentar1[[#This Row],[Historico]]</f>
        <v>DEB WHATS</v>
      </c>
      <c r="G187" s="6">
        <f>IF(Tbl_operations[[#This Row],[Operação Bancária]]="D",Acrescentar1[[#This Row],[Valor]]/100,Acrescentar1[[#This Row],[Valor]]/100)</f>
        <v>28</v>
      </c>
      <c r="H187" t="str">
        <f>Acrescentar1[[#This Row],[Deb_Cred]]</f>
        <v>D</v>
      </c>
      <c r="I187">
        <f>IF(Tbl_operations[[#This Row],[Status]]="POUPANÇA",Controller!$H$17,0)</f>
        <v>0</v>
      </c>
      <c r="J187" t="str">
        <f>IF(Tbl_operations[[#This Row],[Operação Bancária]]="C", "ENTRADA",IF(Tbl_operations[[#This Row],[Operação Bancária]]="P","POUPANÇA","SAIDA"))</f>
        <v>SAIDA</v>
      </c>
    </row>
    <row r="188" spans="1:10" x14ac:dyDescent="0.3">
      <c r="A188" s="1">
        <f>Acrescentar1[[#This Row],[Data_Mov]]</f>
        <v>45618</v>
      </c>
      <c r="B188" s="1" t="str">
        <f>Acrescentar1[[#This Row],[Mês]]</f>
        <v>Novembro</v>
      </c>
      <c r="C188" s="33">
        <f>Acrescentar1[[#This Row],[Ano]]</f>
        <v>2024</v>
      </c>
      <c r="D188" t="str">
        <f>VLOOKUP(Tbl_operations[[#This Row],[Categoria]],$N$3:$O$111,2,0)</f>
        <v>SALDO</v>
      </c>
      <c r="E188" t="str">
        <f>Acrescentar1[[#This Row],[Coluna2]]</f>
        <v>SALDO DIA</v>
      </c>
      <c r="F188" t="str">
        <f>Acrescentar1[[#This Row],[Historico]]</f>
        <v>SALDO DIA</v>
      </c>
      <c r="G188" s="6">
        <f>IF(Tbl_operations[[#This Row],[Operação Bancária]]="D",Acrescentar1[[#This Row],[Valor]]/100,Acrescentar1[[#This Row],[Valor]]/100)</f>
        <v>0</v>
      </c>
      <c r="H188" t="str">
        <f>Acrescentar1[[#This Row],[Deb_Cred]]</f>
        <v>D</v>
      </c>
      <c r="I188">
        <f>IF(Tbl_operations[[#This Row],[Status]]="POUPANÇA",Controller!$H$17,0)</f>
        <v>0</v>
      </c>
      <c r="J188" t="str">
        <f>IF(Tbl_operations[[#This Row],[Operação Bancária]]="C", "ENTRADA",IF(Tbl_operations[[#This Row],[Operação Bancária]]="P","POUPANÇA","SAIDA"))</f>
        <v>SAIDA</v>
      </c>
    </row>
    <row r="189" spans="1:10" x14ac:dyDescent="0.3">
      <c r="A189" s="1">
        <f>Acrescentar1[[#This Row],[Data_Mov]]</f>
        <v>45621</v>
      </c>
      <c r="B189" s="1" t="str">
        <f>Acrescentar1[[#This Row],[Mês]]</f>
        <v>Novembro</v>
      </c>
      <c r="C189" s="33">
        <f>Acrescentar1[[#This Row],[Ano]]</f>
        <v>2024</v>
      </c>
      <c r="D189" t="str">
        <f>VLOOKUP(Tbl_operations[[#This Row],[Categoria]],$N$3:$O$111,2,0)</f>
        <v>ENTRETENIMENTO</v>
      </c>
      <c r="E189" t="str">
        <f>Acrescentar1[[#This Row],[Coluna2]]</f>
        <v>NETFLIX.COM</v>
      </c>
      <c r="F189" t="str">
        <f>Acrescentar1[[#This Row],[Historico]]</f>
        <v>COMPRA</v>
      </c>
      <c r="G189" s="6">
        <f>IF(Tbl_operations[[#This Row],[Operação Bancária]]="D",Acrescentar1[[#This Row],[Valor]]/100,Acrescentar1[[#This Row],[Valor]]/100)</f>
        <v>44.9</v>
      </c>
      <c r="H189" t="str">
        <f>Acrescentar1[[#This Row],[Deb_Cred]]</f>
        <v>D</v>
      </c>
      <c r="I189">
        <f>IF(Tbl_operations[[#This Row],[Status]]="POUPANÇA",Controller!$H$17,0)</f>
        <v>0</v>
      </c>
      <c r="J189" t="str">
        <f>IF(Tbl_operations[[#This Row],[Operação Bancária]]="C", "ENTRADA",IF(Tbl_operations[[#This Row],[Operação Bancária]]="P","POUPANÇA","SAIDA"))</f>
        <v>SAIDA</v>
      </c>
    </row>
    <row r="190" spans="1:10" x14ac:dyDescent="0.3">
      <c r="A190" s="1">
        <f>Acrescentar1[[#This Row],[Data_Mov]]</f>
        <v>45621</v>
      </c>
      <c r="B190" s="1" t="str">
        <f>Acrescentar1[[#This Row],[Mês]]</f>
        <v>Novembro</v>
      </c>
      <c r="C190" s="33">
        <f>Acrescentar1[[#This Row],[Ano]]</f>
        <v>2024</v>
      </c>
      <c r="D190" t="str">
        <f>VLOOKUP(Tbl_operations[[#This Row],[Categoria]],$N$3:$O$111,2,0)</f>
        <v>RESTAURANTE</v>
      </c>
      <c r="E190" t="str">
        <f>Acrescentar1[[#This Row],[Coluna2]]</f>
        <v>PIZZARIA CHOPERIA AVE</v>
      </c>
      <c r="F190" t="str">
        <f>Acrescentar1[[#This Row],[Historico]]</f>
        <v>COMPRA</v>
      </c>
      <c r="G190" s="6">
        <f>IF(Tbl_operations[[#This Row],[Operação Bancária]]="D",Acrescentar1[[#This Row],[Valor]]/100,Acrescentar1[[#This Row],[Valor]]/100)</f>
        <v>110</v>
      </c>
      <c r="H190" t="str">
        <f>Acrescentar1[[#This Row],[Deb_Cred]]</f>
        <v>D</v>
      </c>
      <c r="I190">
        <f>IF(Tbl_operations[[#This Row],[Status]]="POUPANÇA",Controller!$H$17,0)</f>
        <v>0</v>
      </c>
      <c r="J190" t="str">
        <f>IF(Tbl_operations[[#This Row],[Operação Bancária]]="C", "ENTRADA",IF(Tbl_operations[[#This Row],[Operação Bancária]]="P","POUPANÇA","SAIDA"))</f>
        <v>SAIDA</v>
      </c>
    </row>
    <row r="191" spans="1:10" x14ac:dyDescent="0.3">
      <c r="A191" s="1">
        <f>Acrescentar1[[#This Row],[Data_Mov]]</f>
        <v>45621</v>
      </c>
      <c r="B191" s="1" t="str">
        <f>Acrescentar1[[#This Row],[Mês]]</f>
        <v>Novembro</v>
      </c>
      <c r="C191" s="33">
        <f>Acrescentar1[[#This Row],[Ano]]</f>
        <v>2024</v>
      </c>
      <c r="D191" t="str">
        <f>VLOOKUP(Tbl_operations[[#This Row],[Categoria]],$N$3:$O$111,2,0)</f>
        <v>PART JLF</v>
      </c>
      <c r="E191" t="str">
        <f>Acrescentar1[[#This Row],[Coluna2]]</f>
        <v>CRED PIX</v>
      </c>
      <c r="F191" t="str">
        <f>Acrescentar1[[#This Row],[Historico]]</f>
        <v>CRED PIX</v>
      </c>
      <c r="G191" s="6">
        <f>IF(Tbl_operations[[#This Row],[Operação Bancária]]="D",Acrescentar1[[#This Row],[Valor]]/100,Acrescentar1[[#This Row],[Valor]]/100)</f>
        <v>55</v>
      </c>
      <c r="H191" t="str">
        <f>Acrescentar1[[#This Row],[Deb_Cred]]</f>
        <v>C</v>
      </c>
      <c r="I191">
        <f>IF(Tbl_operations[[#This Row],[Status]]="POUPANÇA",Controller!$H$17,0)</f>
        <v>0</v>
      </c>
      <c r="J191" t="str">
        <f>IF(Tbl_operations[[#This Row],[Operação Bancária]]="C", "ENTRADA",IF(Tbl_operations[[#This Row],[Operação Bancária]]="P","POUPANÇA","SAIDA"))</f>
        <v>ENTRADA</v>
      </c>
    </row>
    <row r="192" spans="1:10" x14ac:dyDescent="0.3">
      <c r="A192" s="1">
        <f>Acrescentar1[[#This Row],[Data_Mov]]</f>
        <v>45621</v>
      </c>
      <c r="B192" s="1" t="str">
        <f>Acrescentar1[[#This Row],[Mês]]</f>
        <v>Novembro</v>
      </c>
      <c r="C192" s="33">
        <f>Acrescentar1[[#This Row],[Ano]]</f>
        <v>2024</v>
      </c>
      <c r="D192" t="str">
        <f>VLOOKUP(Tbl_operations[[#This Row],[Categoria]],$N$3:$O$111,2,0)</f>
        <v>SUPERMERCADO</v>
      </c>
      <c r="E192" t="str">
        <f>Acrescentar1[[#This Row],[Coluna2]]</f>
        <v>DIA FRANQUIA LJ 9</v>
      </c>
      <c r="F192" t="str">
        <f>Acrescentar1[[#This Row],[Historico]]</f>
        <v>COMPRA</v>
      </c>
      <c r="G192" s="6">
        <f>IF(Tbl_operations[[#This Row],[Operação Bancária]]="D",Acrescentar1[[#This Row],[Valor]]/100,Acrescentar1[[#This Row],[Valor]]/100)</f>
        <v>48.91</v>
      </c>
      <c r="H192" t="str">
        <f>Acrescentar1[[#This Row],[Deb_Cred]]</f>
        <v>D</v>
      </c>
      <c r="I192">
        <f>IF(Tbl_operations[[#This Row],[Status]]="POUPANÇA",Controller!$H$17,0)</f>
        <v>0</v>
      </c>
      <c r="J192" t="str">
        <f>IF(Tbl_operations[[#This Row],[Operação Bancária]]="C", "ENTRADA",IF(Tbl_operations[[#This Row],[Operação Bancária]]="P","POUPANÇA","SAIDA"))</f>
        <v>SAIDA</v>
      </c>
    </row>
    <row r="193" spans="1:10" x14ac:dyDescent="0.3">
      <c r="A193" s="1">
        <f>Acrescentar1[[#This Row],[Data_Mov]]</f>
        <v>45621</v>
      </c>
      <c r="B193" s="1" t="str">
        <f>Acrescentar1[[#This Row],[Mês]]</f>
        <v>Novembro</v>
      </c>
      <c r="C193" s="33">
        <f>Acrescentar1[[#This Row],[Ano]]</f>
        <v>2024</v>
      </c>
      <c r="D193" t="str">
        <f>VLOOKUP(Tbl_operations[[#This Row],[Categoria]],$N$3:$O$111,2,0)</f>
        <v>COMBUSTIVEL</v>
      </c>
      <c r="E193" t="str">
        <f>Acrescentar1[[#This Row],[Coluna2]]</f>
        <v>PParada</v>
      </c>
      <c r="F193" t="str">
        <f>Acrescentar1[[#This Row],[Historico]]</f>
        <v>COMPRA</v>
      </c>
      <c r="G193" s="6">
        <f>IF(Tbl_operations[[#This Row],[Operação Bancária]]="D",Acrescentar1[[#This Row],[Valor]]/100,Acrescentar1[[#This Row],[Valor]]/100)</f>
        <v>100</v>
      </c>
      <c r="H193" t="str">
        <f>Acrescentar1[[#This Row],[Deb_Cred]]</f>
        <v>D</v>
      </c>
      <c r="I193">
        <f>IF(Tbl_operations[[#This Row],[Status]]="POUPANÇA",Controller!$H$17,0)</f>
        <v>0</v>
      </c>
      <c r="J193" t="str">
        <f>IF(Tbl_operations[[#This Row],[Operação Bancária]]="C", "ENTRADA",IF(Tbl_operations[[#This Row],[Operação Bancária]]="P","POUPANÇA","SAIDA"))</f>
        <v>SAIDA</v>
      </c>
    </row>
    <row r="194" spans="1:10" x14ac:dyDescent="0.3">
      <c r="A194" s="1">
        <f>Acrescentar1[[#This Row],[Data_Mov]]</f>
        <v>45621</v>
      </c>
      <c r="B194" s="1" t="str">
        <f>Acrescentar1[[#This Row],[Mês]]</f>
        <v>Novembro</v>
      </c>
      <c r="C194" s="33">
        <f>Acrescentar1[[#This Row],[Ano]]</f>
        <v>2024</v>
      </c>
      <c r="D194" t="str">
        <f>VLOOKUP(Tbl_operations[[#This Row],[Categoria]],$N$3:$O$111,2,0)</f>
        <v>SUPERMERCADO</v>
      </c>
      <c r="E194" t="str">
        <f>Acrescentar1[[#This Row],[Coluna2]]</f>
        <v>DIA FRANQUIA LJ 9</v>
      </c>
      <c r="F194" t="str">
        <f>Acrescentar1[[#This Row],[Historico]]</f>
        <v>COMPRA</v>
      </c>
      <c r="G194" s="6">
        <f>IF(Tbl_operations[[#This Row],[Operação Bancária]]="D",Acrescentar1[[#This Row],[Valor]]/100,Acrescentar1[[#This Row],[Valor]]/100)</f>
        <v>22.02</v>
      </c>
      <c r="H194" t="str">
        <f>Acrescentar1[[#This Row],[Deb_Cred]]</f>
        <v>D</v>
      </c>
      <c r="I194">
        <f>IF(Tbl_operations[[#This Row],[Status]]="POUPANÇA",Controller!$H$17,0)</f>
        <v>0</v>
      </c>
      <c r="J194" t="str">
        <f>IF(Tbl_operations[[#This Row],[Operação Bancária]]="C", "ENTRADA",IF(Tbl_operations[[#This Row],[Operação Bancária]]="P","POUPANÇA","SAIDA"))</f>
        <v>SAIDA</v>
      </c>
    </row>
    <row r="195" spans="1:10" x14ac:dyDescent="0.3">
      <c r="A195" s="1">
        <f>Acrescentar1[[#This Row],[Data_Mov]]</f>
        <v>45621</v>
      </c>
      <c r="B195" s="1" t="str">
        <f>Acrescentar1[[#This Row],[Mês]]</f>
        <v>Novembro</v>
      </c>
      <c r="C195" s="33">
        <f>Acrescentar1[[#This Row],[Ano]]</f>
        <v>2024</v>
      </c>
      <c r="D195" t="str">
        <f>VLOOKUP(Tbl_operations[[#This Row],[Categoria]],$N$3:$O$111,2,0)</f>
        <v>SALDO</v>
      </c>
      <c r="E195" t="str">
        <f>Acrescentar1[[#This Row],[Coluna2]]</f>
        <v>SALDO DIA</v>
      </c>
      <c r="F195" t="str">
        <f>Acrescentar1[[#This Row],[Historico]]</f>
        <v>SALDO DIA</v>
      </c>
      <c r="G195" s="6">
        <f>IF(Tbl_operations[[#This Row],[Operação Bancária]]="D",Acrescentar1[[#This Row],[Valor]]/100,Acrescentar1[[#This Row],[Valor]]/100)</f>
        <v>0</v>
      </c>
      <c r="H195" t="str">
        <f>Acrescentar1[[#This Row],[Deb_Cred]]</f>
        <v>D</v>
      </c>
      <c r="I195">
        <f>IF(Tbl_operations[[#This Row],[Status]]="POUPANÇA",Controller!$H$17,0)</f>
        <v>0</v>
      </c>
      <c r="J195" t="str">
        <f>IF(Tbl_operations[[#This Row],[Operação Bancária]]="C", "ENTRADA",IF(Tbl_operations[[#This Row],[Operação Bancária]]="P","POUPANÇA","SAIDA"))</f>
        <v>SAIDA</v>
      </c>
    </row>
    <row r="196" spans="1:10" x14ac:dyDescent="0.3">
      <c r="A196" s="1">
        <f>Acrescentar1[[#This Row],[Data_Mov]]</f>
        <v>45622</v>
      </c>
      <c r="B196" s="1" t="str">
        <f>Acrescentar1[[#This Row],[Mês]]</f>
        <v>Novembro</v>
      </c>
      <c r="C196" s="33">
        <f>Acrescentar1[[#This Row],[Ano]]</f>
        <v>2024</v>
      </c>
      <c r="D196" t="str">
        <f>VLOOKUP(Tbl_operations[[#This Row],[Categoria]],$N$3:$O$111,2,0)</f>
        <v>PAI-DIRCE</v>
      </c>
      <c r="E196" t="str">
        <f>Acrescentar1[[#This Row],[Coluna2]]</f>
        <v>ENVIO PIX</v>
      </c>
      <c r="F196" t="str">
        <f>Acrescentar1[[#This Row],[Historico]]</f>
        <v>ENVIO PIX</v>
      </c>
      <c r="G196" s="6">
        <f>IF(Tbl_operations[[#This Row],[Operação Bancária]]="D",Acrescentar1[[#This Row],[Valor]]/100,Acrescentar1[[#This Row],[Valor]]/100)</f>
        <v>10</v>
      </c>
      <c r="H196" t="str">
        <f>Acrescentar1[[#This Row],[Deb_Cred]]</f>
        <v>D</v>
      </c>
      <c r="I196">
        <f>IF(Tbl_operations[[#This Row],[Status]]="POUPANÇA",Controller!$H$17,0)</f>
        <v>0</v>
      </c>
      <c r="J196" t="str">
        <f>IF(Tbl_operations[[#This Row],[Operação Bancária]]="C", "ENTRADA",IF(Tbl_operations[[#This Row],[Operação Bancária]]="P","POUPANÇA","SAIDA"))</f>
        <v>SAIDA</v>
      </c>
    </row>
    <row r="197" spans="1:10" x14ac:dyDescent="0.3">
      <c r="A197" s="1">
        <f>Acrescentar1[[#This Row],[Data_Mov]]</f>
        <v>45622</v>
      </c>
      <c r="B197" s="1" t="str">
        <f>Acrescentar1[[#This Row],[Mês]]</f>
        <v>Novembro</v>
      </c>
      <c r="C197" s="33">
        <f>Acrescentar1[[#This Row],[Ano]]</f>
        <v>2024</v>
      </c>
      <c r="D197" t="str">
        <f>VLOOKUP(Tbl_operations[[#This Row],[Categoria]],$N$3:$O$111,2,0)</f>
        <v>PAI-DIRCE</v>
      </c>
      <c r="E197" t="str">
        <f>Acrescentar1[[#This Row],[Coluna2]]</f>
        <v>DEB WHATS</v>
      </c>
      <c r="F197" t="str">
        <f>Acrescentar1[[#This Row],[Historico]]</f>
        <v>DEB WHATS</v>
      </c>
      <c r="G197" s="6">
        <f>IF(Tbl_operations[[#This Row],[Operação Bancária]]="D",Acrescentar1[[#This Row],[Valor]]/100,Acrescentar1[[#This Row],[Valor]]/100)</f>
        <v>30</v>
      </c>
      <c r="H197" t="str">
        <f>Acrescentar1[[#This Row],[Deb_Cred]]</f>
        <v>D</v>
      </c>
      <c r="I197">
        <f>IF(Tbl_operations[[#This Row],[Status]]="POUPANÇA",Controller!$H$17,0)</f>
        <v>0</v>
      </c>
      <c r="J197" t="str">
        <f>IF(Tbl_operations[[#This Row],[Operação Bancária]]="C", "ENTRADA",IF(Tbl_operations[[#This Row],[Operação Bancária]]="P","POUPANÇA","SAIDA"))</f>
        <v>SAIDA</v>
      </c>
    </row>
    <row r="198" spans="1:10" x14ac:dyDescent="0.3">
      <c r="A198" s="1">
        <f>Acrescentar1[[#This Row],[Data_Mov]]</f>
        <v>45622</v>
      </c>
      <c r="B198" s="1" t="str">
        <f>Acrescentar1[[#This Row],[Mês]]</f>
        <v>Novembro</v>
      </c>
      <c r="C198" s="33">
        <f>Acrescentar1[[#This Row],[Ano]]</f>
        <v>2024</v>
      </c>
      <c r="D198" t="str">
        <f>VLOOKUP(Tbl_operations[[#This Row],[Categoria]],$N$3:$O$111,2,0)</f>
        <v>SUPERMERCADO</v>
      </c>
      <c r="E198" t="str">
        <f>Acrescentar1[[#This Row],[Coluna2]]</f>
        <v>DIA FRANQUIA LJ 9</v>
      </c>
      <c r="F198" t="str">
        <f>Acrescentar1[[#This Row],[Historico]]</f>
        <v>COMPRA</v>
      </c>
      <c r="G198" s="6">
        <f>IF(Tbl_operations[[#This Row],[Operação Bancária]]="D",Acrescentar1[[#This Row],[Valor]]/100,Acrescentar1[[#This Row],[Valor]]/100)</f>
        <v>34.72</v>
      </c>
      <c r="H198" t="str">
        <f>Acrescentar1[[#This Row],[Deb_Cred]]</f>
        <v>D</v>
      </c>
      <c r="I198">
        <f>IF(Tbl_operations[[#This Row],[Status]]="POUPANÇA",Controller!$H$17,0)</f>
        <v>0</v>
      </c>
      <c r="J198" t="str">
        <f>IF(Tbl_operations[[#This Row],[Operação Bancária]]="C", "ENTRADA",IF(Tbl_operations[[#This Row],[Operação Bancária]]="P","POUPANÇA","SAIDA"))</f>
        <v>SAIDA</v>
      </c>
    </row>
    <row r="199" spans="1:10" x14ac:dyDescent="0.3">
      <c r="A199" s="1">
        <f>Acrescentar1[[#This Row],[Data_Mov]]</f>
        <v>45622</v>
      </c>
      <c r="B199" s="1" t="str">
        <f>Acrescentar1[[#This Row],[Mês]]</f>
        <v>Novembro</v>
      </c>
      <c r="C199" s="33">
        <f>Acrescentar1[[#This Row],[Ano]]</f>
        <v>2024</v>
      </c>
      <c r="D199" t="str">
        <f>VLOOKUP(Tbl_operations[[#This Row],[Categoria]],$N$3:$O$111,2,0)</f>
        <v>SALDO</v>
      </c>
      <c r="E199" t="str">
        <f>Acrescentar1[[#This Row],[Coluna2]]</f>
        <v>SALDO DIA</v>
      </c>
      <c r="F199" t="str">
        <f>Acrescentar1[[#This Row],[Historico]]</f>
        <v>SALDO DIA</v>
      </c>
      <c r="G199" s="6">
        <f>IF(Tbl_operations[[#This Row],[Operação Bancária]]="D",Acrescentar1[[#This Row],[Valor]]/100,Acrescentar1[[#This Row],[Valor]]/100)</f>
        <v>0</v>
      </c>
      <c r="H199" t="str">
        <f>Acrescentar1[[#This Row],[Deb_Cred]]</f>
        <v>D</v>
      </c>
      <c r="I199">
        <f>IF(Tbl_operations[[#This Row],[Status]]="POUPANÇA",Controller!$H$17,0)</f>
        <v>0</v>
      </c>
      <c r="J199" t="str">
        <f>IF(Tbl_operations[[#This Row],[Operação Bancária]]="C", "ENTRADA",IF(Tbl_operations[[#This Row],[Operação Bancária]]="P","POUPANÇA","SAIDA"))</f>
        <v>SAIDA</v>
      </c>
    </row>
    <row r="200" spans="1:10" x14ac:dyDescent="0.3">
      <c r="A200" s="1">
        <f>Acrescentar1[[#This Row],[Data_Mov]]</f>
        <v>45623</v>
      </c>
      <c r="B200" s="1" t="str">
        <f>Acrescentar1[[#This Row],[Mês]]</f>
        <v>Novembro</v>
      </c>
      <c r="C200" s="33">
        <f>Acrescentar1[[#This Row],[Ano]]</f>
        <v>2024</v>
      </c>
      <c r="D200" t="str">
        <f>VLOOKUP(Tbl_operations[[#This Row],[Categoria]],$N$3:$O$111,2,0)</f>
        <v>PEDAGIO/ESTAC</v>
      </c>
      <c r="E200" t="str">
        <f>Acrescentar1[[#This Row],[Coluna2]]</f>
        <v>FBPAY *WA TRXIDXX4594</v>
      </c>
      <c r="F200" t="str">
        <f>Acrescentar1[[#This Row],[Historico]]</f>
        <v>COMPRA</v>
      </c>
      <c r="G200" s="6">
        <f>IF(Tbl_operations[[#This Row],[Operação Bancária]]="D",Acrescentar1[[#This Row],[Valor]]/100,Acrescentar1[[#This Row],[Valor]]/100)</f>
        <v>10.1</v>
      </c>
      <c r="H200" t="str">
        <f>Acrescentar1[[#This Row],[Deb_Cred]]</f>
        <v>D</v>
      </c>
      <c r="I200">
        <f>IF(Tbl_operations[[#This Row],[Status]]="POUPANÇA",Controller!$H$17,0)</f>
        <v>0</v>
      </c>
      <c r="J200" t="str">
        <f>IF(Tbl_operations[[#This Row],[Operação Bancária]]="C", "ENTRADA",IF(Tbl_operations[[#This Row],[Operação Bancária]]="P","POUPANÇA","SAIDA"))</f>
        <v>SAIDA</v>
      </c>
    </row>
    <row r="201" spans="1:10" x14ac:dyDescent="0.3">
      <c r="A201" s="1">
        <f>Acrescentar1[[#This Row],[Data_Mov]]</f>
        <v>45623</v>
      </c>
      <c r="B201" s="1" t="str">
        <f>Acrescentar1[[#This Row],[Mês]]</f>
        <v>Novembro</v>
      </c>
      <c r="C201" s="33">
        <f>Acrescentar1[[#This Row],[Ano]]</f>
        <v>2024</v>
      </c>
      <c r="D201" t="str">
        <f>VLOOKUP(Tbl_operations[[#This Row],[Categoria]],$N$3:$O$111,2,0)</f>
        <v>SALARIO</v>
      </c>
      <c r="E201" t="str">
        <f>Acrescentar1[[#This Row],[Coluna2]]</f>
        <v>CR RG POUP</v>
      </c>
      <c r="F201" t="str">
        <f>Acrescentar1[[#This Row],[Historico]]</f>
        <v>CR RG POUP</v>
      </c>
      <c r="G201" s="6">
        <f>IF(Tbl_operations[[#This Row],[Operação Bancária]]="D",Acrescentar1[[#This Row],[Valor]]/100,Acrescentar1[[#This Row],[Valor]]/100)</f>
        <v>120</v>
      </c>
      <c r="H201" t="str">
        <f>Acrescentar1[[#This Row],[Deb_Cred]]</f>
        <v>C</v>
      </c>
      <c r="I201">
        <f>IF(Tbl_operations[[#This Row],[Status]]="POUPANÇA",Controller!$H$17,0)</f>
        <v>0</v>
      </c>
      <c r="J201" t="str">
        <f>IF(Tbl_operations[[#This Row],[Operação Bancária]]="C", "ENTRADA",IF(Tbl_operations[[#This Row],[Operação Bancária]]="P","POUPANÇA","SAIDA"))</f>
        <v>ENTRADA</v>
      </c>
    </row>
    <row r="202" spans="1:10" x14ac:dyDescent="0.3">
      <c r="A202" s="1">
        <f>Acrescentar1[[#This Row],[Data_Mov]]</f>
        <v>45623</v>
      </c>
      <c r="B202" s="1" t="str">
        <f>Acrescentar1[[#This Row],[Mês]]</f>
        <v>Novembro</v>
      </c>
      <c r="C202" s="33">
        <f>Acrescentar1[[#This Row],[Ano]]</f>
        <v>2024</v>
      </c>
      <c r="D202" t="str">
        <f>VLOOKUP(Tbl_operations[[#This Row],[Categoria]],$N$3:$O$111,2,0)</f>
        <v>RESTAURANTE</v>
      </c>
      <c r="E202" t="str">
        <f>Acrescentar1[[#This Row],[Coluna2]]</f>
        <v>SAO JOAO CONVENIENCIA</v>
      </c>
      <c r="F202" t="str">
        <f>Acrescentar1[[#This Row],[Historico]]</f>
        <v>COMPRA</v>
      </c>
      <c r="G202" s="6">
        <f>IF(Tbl_operations[[#This Row],[Operação Bancária]]="D",Acrescentar1[[#This Row],[Valor]]/100,Acrescentar1[[#This Row],[Valor]]/100)</f>
        <v>100</v>
      </c>
      <c r="H202" t="str">
        <f>Acrescentar1[[#This Row],[Deb_Cred]]</f>
        <v>D</v>
      </c>
      <c r="I202">
        <f>IF(Tbl_operations[[#This Row],[Status]]="POUPANÇA",Controller!$H$17,0)</f>
        <v>0</v>
      </c>
      <c r="J202" t="str">
        <f>IF(Tbl_operations[[#This Row],[Operação Bancária]]="C", "ENTRADA",IF(Tbl_operations[[#This Row],[Operação Bancária]]="P","POUPANÇA","SAIDA"))</f>
        <v>SAIDA</v>
      </c>
    </row>
    <row r="203" spans="1:10" x14ac:dyDescent="0.3">
      <c r="A203" s="1">
        <f>Acrescentar1[[#This Row],[Data_Mov]]</f>
        <v>45623</v>
      </c>
      <c r="B203" s="1" t="str">
        <f>Acrescentar1[[#This Row],[Mês]]</f>
        <v>Novembro</v>
      </c>
      <c r="C203" s="33">
        <f>Acrescentar1[[#This Row],[Ano]]</f>
        <v>2024</v>
      </c>
      <c r="D203" t="str">
        <f>VLOOKUP(Tbl_operations[[#This Row],[Categoria]],$N$3:$O$111,2,0)</f>
        <v>SALDO</v>
      </c>
      <c r="E203" t="str">
        <f>Acrescentar1[[#This Row],[Coluna2]]</f>
        <v>SALDO DIA</v>
      </c>
      <c r="F203" t="str">
        <f>Acrescentar1[[#This Row],[Historico]]</f>
        <v>SALDO DIA</v>
      </c>
      <c r="G203" s="6">
        <f>IF(Tbl_operations[[#This Row],[Operação Bancária]]="D",Acrescentar1[[#This Row],[Valor]]/100,Acrescentar1[[#This Row],[Valor]]/100)</f>
        <v>0</v>
      </c>
      <c r="H203" t="str">
        <f>Acrescentar1[[#This Row],[Deb_Cred]]</f>
        <v>D</v>
      </c>
      <c r="I203">
        <f>IF(Tbl_operations[[#This Row],[Status]]="POUPANÇA",Controller!$H$17,0)</f>
        <v>0</v>
      </c>
      <c r="J203" t="str">
        <f>IF(Tbl_operations[[#This Row],[Operação Bancária]]="C", "ENTRADA",IF(Tbl_operations[[#This Row],[Operação Bancária]]="P","POUPANÇA","SAIDA"))</f>
        <v>SAIDA</v>
      </c>
    </row>
    <row r="204" spans="1:10" x14ac:dyDescent="0.3">
      <c r="A204" s="1">
        <f>Acrescentar1[[#This Row],[Data_Mov]]</f>
        <v>45624</v>
      </c>
      <c r="B204" s="1" t="str">
        <f>Acrescentar1[[#This Row],[Mês]]</f>
        <v>Novembro</v>
      </c>
      <c r="C204" s="33">
        <f>Acrescentar1[[#This Row],[Ano]]</f>
        <v>2024</v>
      </c>
      <c r="D204" t="str">
        <f>VLOOKUP(Tbl_operations[[#This Row],[Categoria]],$N$3:$O$111,2,0)</f>
        <v>SEGURO</v>
      </c>
      <c r="E204" t="str">
        <f>Acrescentar1[[#This Row],[Coluna2]]</f>
        <v>SEG RESID</v>
      </c>
      <c r="F204" t="str">
        <f>Acrescentar1[[#This Row],[Historico]]</f>
        <v>SEG RESID</v>
      </c>
      <c r="G204" s="6">
        <f>IF(Tbl_operations[[#This Row],[Operação Bancária]]="D",Acrescentar1[[#This Row],[Valor]]/100,Acrescentar1[[#This Row],[Valor]]/100)</f>
        <v>72.17</v>
      </c>
      <c r="H204" t="str">
        <f>Acrescentar1[[#This Row],[Deb_Cred]]</f>
        <v>D</v>
      </c>
      <c r="I204">
        <f>IF(Tbl_operations[[#This Row],[Status]]="POUPANÇA",Controller!$H$17,0)</f>
        <v>0</v>
      </c>
      <c r="J204" t="str">
        <f>IF(Tbl_operations[[#This Row],[Operação Bancária]]="C", "ENTRADA",IF(Tbl_operations[[#This Row],[Operação Bancária]]="P","POUPANÇA","SAIDA"))</f>
        <v>SAIDA</v>
      </c>
    </row>
    <row r="205" spans="1:10" x14ac:dyDescent="0.3">
      <c r="A205" s="1">
        <f>Acrescentar1[[#This Row],[Data_Mov]]</f>
        <v>45624</v>
      </c>
      <c r="B205" s="1" t="str">
        <f>Acrescentar1[[#This Row],[Mês]]</f>
        <v>Novembro</v>
      </c>
      <c r="C205" s="33">
        <f>Acrescentar1[[#This Row],[Ano]]</f>
        <v>2024</v>
      </c>
      <c r="D205" t="str">
        <f>VLOOKUP(Tbl_operations[[#This Row],[Categoria]],$N$3:$O$111,2,0)</f>
        <v>SALARIO</v>
      </c>
      <c r="E205" t="str">
        <f>Acrescentar1[[#This Row],[Coluna2]]</f>
        <v>CR RG POUP</v>
      </c>
      <c r="F205" t="str">
        <f>Acrescentar1[[#This Row],[Historico]]</f>
        <v>CR RG POUP</v>
      </c>
      <c r="G205" s="6">
        <f>IF(Tbl_operations[[#This Row],[Operação Bancária]]="D",Acrescentar1[[#This Row],[Valor]]/100,Acrescentar1[[#This Row],[Valor]]/100)</f>
        <v>80</v>
      </c>
      <c r="H205" t="str">
        <f>Acrescentar1[[#This Row],[Deb_Cred]]</f>
        <v>C</v>
      </c>
      <c r="I205">
        <f>IF(Tbl_operations[[#This Row],[Status]]="POUPANÇA",Controller!$H$17,0)</f>
        <v>0</v>
      </c>
      <c r="J205" t="str">
        <f>IF(Tbl_operations[[#This Row],[Operação Bancária]]="C", "ENTRADA",IF(Tbl_operations[[#This Row],[Operação Bancária]]="P","POUPANÇA","SAIDA"))</f>
        <v>ENTRADA</v>
      </c>
    </row>
    <row r="206" spans="1:10" x14ac:dyDescent="0.3">
      <c r="A206" s="1">
        <f>Acrescentar1[[#This Row],[Data_Mov]]</f>
        <v>45624</v>
      </c>
      <c r="B206" s="1" t="str">
        <f>Acrescentar1[[#This Row],[Mês]]</f>
        <v>Novembro</v>
      </c>
      <c r="C206" s="33">
        <f>Acrescentar1[[#This Row],[Ano]]</f>
        <v>2024</v>
      </c>
      <c r="D206" t="str">
        <f>VLOOKUP(Tbl_operations[[#This Row],[Categoria]],$N$3:$O$111,2,0)</f>
        <v>SUPERMERCADO</v>
      </c>
      <c r="E206" t="str">
        <f>Acrescentar1[[#This Row],[Coluna2]]</f>
        <v>DIA FRANQUIA LJ 9</v>
      </c>
      <c r="F206" t="str">
        <f>Acrescentar1[[#This Row],[Historico]]</f>
        <v>COMPRA</v>
      </c>
      <c r="G206" s="6">
        <f>IF(Tbl_operations[[#This Row],[Operação Bancária]]="D",Acrescentar1[[#This Row],[Valor]]/100,Acrescentar1[[#This Row],[Valor]]/100)</f>
        <v>22.46</v>
      </c>
      <c r="H206" t="str">
        <f>Acrescentar1[[#This Row],[Deb_Cred]]</f>
        <v>D</v>
      </c>
      <c r="I206">
        <f>IF(Tbl_operations[[#This Row],[Status]]="POUPANÇA",Controller!$H$17,0)</f>
        <v>0</v>
      </c>
      <c r="J206" t="str">
        <f>IF(Tbl_operations[[#This Row],[Operação Bancária]]="C", "ENTRADA",IF(Tbl_operations[[#This Row],[Operação Bancária]]="P","POUPANÇA","SAIDA"))</f>
        <v>SAIDA</v>
      </c>
    </row>
    <row r="207" spans="1:10" x14ac:dyDescent="0.3">
      <c r="A207" s="1">
        <f>Acrescentar1[[#This Row],[Data_Mov]]</f>
        <v>45624</v>
      </c>
      <c r="B207" s="1" t="str">
        <f>Acrescentar1[[#This Row],[Mês]]</f>
        <v>Novembro</v>
      </c>
      <c r="C207" s="33">
        <f>Acrescentar1[[#This Row],[Ano]]</f>
        <v>2024</v>
      </c>
      <c r="D207" t="str">
        <f>VLOOKUP(Tbl_operations[[#This Row],[Categoria]],$N$3:$O$111,2,0)</f>
        <v>FARMACIA</v>
      </c>
      <c r="E207" t="str">
        <f>Acrescentar1[[#This Row],[Coluna2]]</f>
        <v>DROGARIA ALIANCA</v>
      </c>
      <c r="F207" t="str">
        <f>Acrescentar1[[#This Row],[Historico]]</f>
        <v>COMPRA</v>
      </c>
      <c r="G207" s="6">
        <f>IF(Tbl_operations[[#This Row],[Operação Bancária]]="D",Acrescentar1[[#This Row],[Valor]]/100,Acrescentar1[[#This Row],[Valor]]/100)</f>
        <v>23.99</v>
      </c>
      <c r="H207" t="str">
        <f>Acrescentar1[[#This Row],[Deb_Cred]]</f>
        <v>D</v>
      </c>
      <c r="I207">
        <f>IF(Tbl_operations[[#This Row],[Status]]="POUPANÇA",Controller!$H$17,0)</f>
        <v>0</v>
      </c>
      <c r="J207" t="str">
        <f>IF(Tbl_operations[[#This Row],[Operação Bancária]]="C", "ENTRADA",IF(Tbl_operations[[#This Row],[Operação Bancária]]="P","POUPANÇA","SAIDA"))</f>
        <v>SAIDA</v>
      </c>
    </row>
    <row r="208" spans="1:10" x14ac:dyDescent="0.3">
      <c r="A208" s="1">
        <f>Acrescentar1[[#This Row],[Data_Mov]]</f>
        <v>45624</v>
      </c>
      <c r="B208" s="1" t="str">
        <f>Acrescentar1[[#This Row],[Mês]]</f>
        <v>Novembro</v>
      </c>
      <c r="C208" s="33">
        <f>Acrescentar1[[#This Row],[Ano]]</f>
        <v>2024</v>
      </c>
      <c r="D208" t="str">
        <f>VLOOKUP(Tbl_operations[[#This Row],[Categoria]],$N$3:$O$111,2,0)</f>
        <v>SALDO</v>
      </c>
      <c r="E208" t="str">
        <f>Acrescentar1[[#This Row],[Coluna2]]</f>
        <v>SALDO DIA</v>
      </c>
      <c r="F208" t="str">
        <f>Acrescentar1[[#This Row],[Historico]]</f>
        <v>SALDO DIA</v>
      </c>
      <c r="G208" s="6">
        <f>IF(Tbl_operations[[#This Row],[Operação Bancária]]="D",Acrescentar1[[#This Row],[Valor]]/100,Acrescentar1[[#This Row],[Valor]]/100)</f>
        <v>0</v>
      </c>
      <c r="H208" t="str">
        <f>Acrescentar1[[#This Row],[Deb_Cred]]</f>
        <v>D</v>
      </c>
      <c r="I208">
        <f>IF(Tbl_operations[[#This Row],[Status]]="POUPANÇA",Controller!$H$17,0)</f>
        <v>0</v>
      </c>
      <c r="J208" t="str">
        <f>IF(Tbl_operations[[#This Row],[Operação Bancária]]="C", "ENTRADA",IF(Tbl_operations[[#This Row],[Operação Bancária]]="P","POUPANÇA","SAIDA"))</f>
        <v>SAIDA</v>
      </c>
    </row>
    <row r="209" spans="1:10" x14ac:dyDescent="0.3">
      <c r="A209" s="1">
        <f>Acrescentar1[[#This Row],[Data_Mov]]</f>
        <v>45625</v>
      </c>
      <c r="B209" s="1" t="str">
        <f>Acrescentar1[[#This Row],[Mês]]</f>
        <v>Novembro</v>
      </c>
      <c r="C209" s="33">
        <f>Acrescentar1[[#This Row],[Ano]]</f>
        <v>2024</v>
      </c>
      <c r="D209" t="str">
        <f>VLOOKUP(Tbl_operations[[#This Row],[Categoria]],$N$3:$O$111,2,0)</f>
        <v>IRPF</v>
      </c>
      <c r="E209" t="str">
        <f>Acrescentar1[[#This Row],[Coluna2]]</f>
        <v>DEB IRPF</v>
      </c>
      <c r="F209" t="str">
        <f>Acrescentar1[[#This Row],[Historico]]</f>
        <v>DEB IRPF</v>
      </c>
      <c r="G209" s="6">
        <f>IF(Tbl_operations[[#This Row],[Operação Bancária]]="D",Acrescentar1[[#This Row],[Valor]]/100,Acrescentar1[[#This Row],[Valor]]/100)</f>
        <v>55.84</v>
      </c>
      <c r="H209" t="str">
        <f>Acrescentar1[[#This Row],[Deb_Cred]]</f>
        <v>D</v>
      </c>
      <c r="I209">
        <f>IF(Tbl_operations[[#This Row],[Status]]="POUPANÇA",Controller!$H$17,0)</f>
        <v>0</v>
      </c>
      <c r="J209" t="str">
        <f>IF(Tbl_operations[[#This Row],[Operação Bancária]]="C", "ENTRADA",IF(Tbl_operations[[#This Row],[Operação Bancária]]="P","POUPANÇA","SAIDA"))</f>
        <v>SAIDA</v>
      </c>
    </row>
    <row r="210" spans="1:10" x14ac:dyDescent="0.3">
      <c r="A210" s="1">
        <f>Acrescentar1[[#This Row],[Data_Mov]]</f>
        <v>45625</v>
      </c>
      <c r="B210" s="1" t="str">
        <f>Acrescentar1[[#This Row],[Mês]]</f>
        <v>Novembro</v>
      </c>
      <c r="C210" s="33">
        <f>Acrescentar1[[#This Row],[Ano]]</f>
        <v>2024</v>
      </c>
      <c r="D210" t="str">
        <f>VLOOKUP(Tbl_operations[[#This Row],[Categoria]],$N$3:$O$111,2,0)</f>
        <v>SALARIO</v>
      </c>
      <c r="E210" t="str">
        <f>Acrescentar1[[#This Row],[Coluna2]]</f>
        <v>CR RG POUP</v>
      </c>
      <c r="F210" t="str">
        <f>Acrescentar1[[#This Row],[Historico]]</f>
        <v>CR RG POUP</v>
      </c>
      <c r="G210" s="6">
        <f>IF(Tbl_operations[[#This Row],[Operação Bancária]]="D",Acrescentar1[[#This Row],[Valor]]/100,Acrescentar1[[#This Row],[Valor]]/100)</f>
        <v>200</v>
      </c>
      <c r="H210" t="str">
        <f>Acrescentar1[[#This Row],[Deb_Cred]]</f>
        <v>C</v>
      </c>
      <c r="I210">
        <f>IF(Tbl_operations[[#This Row],[Status]]="POUPANÇA",Controller!$H$17,0)</f>
        <v>0</v>
      </c>
      <c r="J210" t="str">
        <f>IF(Tbl_operations[[#This Row],[Operação Bancária]]="C", "ENTRADA",IF(Tbl_operations[[#This Row],[Operação Bancária]]="P","POUPANÇA","SAIDA"))</f>
        <v>ENTRADA</v>
      </c>
    </row>
    <row r="211" spans="1:10" x14ac:dyDescent="0.3">
      <c r="A211" s="1">
        <f>Acrescentar1[[#This Row],[Data_Mov]]</f>
        <v>45625</v>
      </c>
      <c r="B211" s="1" t="str">
        <f>Acrescentar1[[#This Row],[Mês]]</f>
        <v>Novembro</v>
      </c>
      <c r="C211" s="33">
        <f>Acrescentar1[[#This Row],[Ano]]</f>
        <v>2024</v>
      </c>
      <c r="D211" t="str">
        <f>VLOOKUP(Tbl_operations[[#This Row],[Categoria]],$N$3:$O$111,2,0)</f>
        <v>COMBUSTIVEL</v>
      </c>
      <c r="E211" t="str">
        <f>Acrescentar1[[#This Row],[Coluna2]]</f>
        <v>PParada</v>
      </c>
      <c r="F211" t="str">
        <f>Acrescentar1[[#This Row],[Historico]]</f>
        <v>COMPRA</v>
      </c>
      <c r="G211" s="6">
        <f>IF(Tbl_operations[[#This Row],[Operação Bancária]]="D",Acrescentar1[[#This Row],[Valor]]/100,Acrescentar1[[#This Row],[Valor]]/100)</f>
        <v>100</v>
      </c>
      <c r="H211" t="str">
        <f>Acrescentar1[[#This Row],[Deb_Cred]]</f>
        <v>D</v>
      </c>
      <c r="I211">
        <f>IF(Tbl_operations[[#This Row],[Status]]="POUPANÇA",Controller!$H$17,0)</f>
        <v>0</v>
      </c>
      <c r="J211" t="str">
        <f>IF(Tbl_operations[[#This Row],[Operação Bancária]]="C", "ENTRADA",IF(Tbl_operations[[#This Row],[Operação Bancária]]="P","POUPANÇA","SAIDA"))</f>
        <v>SAIDA</v>
      </c>
    </row>
    <row r="212" spans="1:10" x14ac:dyDescent="0.3">
      <c r="A212" s="1">
        <f>Acrescentar1[[#This Row],[Data_Mov]]</f>
        <v>45625</v>
      </c>
      <c r="B212" s="1" t="str">
        <f>Acrescentar1[[#This Row],[Mês]]</f>
        <v>Novembro</v>
      </c>
      <c r="C212" s="33">
        <f>Acrescentar1[[#This Row],[Ano]]</f>
        <v>2024</v>
      </c>
      <c r="D212" t="str">
        <f>VLOOKUP(Tbl_operations[[#This Row],[Categoria]],$N$3:$O$111,2,0)</f>
        <v>EMPRESTIMO</v>
      </c>
      <c r="E212" t="str">
        <f>Acrescentar1[[#This Row],[Coluna2]]</f>
        <v>CR CONSIG</v>
      </c>
      <c r="F212" t="str">
        <f>Acrescentar1[[#This Row],[Historico]]</f>
        <v>CR CONSIG</v>
      </c>
      <c r="G212" s="6">
        <f>IF(Tbl_operations[[#This Row],[Operação Bancária]]="D",Acrescentar1[[#This Row],[Valor]]/100,Acrescentar1[[#This Row],[Valor]]/100)</f>
        <v>1046.97</v>
      </c>
      <c r="H212" t="str">
        <f>Acrescentar1[[#This Row],[Deb_Cred]]</f>
        <v>C</v>
      </c>
      <c r="I212">
        <f>IF(Tbl_operations[[#This Row],[Status]]="POUPANÇA",Controller!$H$17,0)</f>
        <v>0</v>
      </c>
      <c r="J212" t="str">
        <f>IF(Tbl_operations[[#This Row],[Operação Bancária]]="C", "ENTRADA",IF(Tbl_operations[[#This Row],[Operação Bancária]]="P","POUPANÇA","SAIDA"))</f>
        <v>ENTRADA</v>
      </c>
    </row>
    <row r="213" spans="1:10" x14ac:dyDescent="0.3">
      <c r="A213" s="1">
        <f>Acrescentar1[[#This Row],[Data_Mov]]</f>
        <v>45625</v>
      </c>
      <c r="B213" s="1" t="str">
        <f>Acrescentar1[[#This Row],[Mês]]</f>
        <v>Novembro</v>
      </c>
      <c r="C213" s="33">
        <f>Acrescentar1[[#This Row],[Ano]]</f>
        <v>2024</v>
      </c>
      <c r="D213" t="str">
        <f>VLOOKUP(Tbl_operations[[#This Row],[Categoria]],$N$3:$O$111,2,0)</f>
        <v>EMPRESTIMO</v>
      </c>
      <c r="E213" t="str">
        <f>Acrescentar1[[#This Row],[Coluna2]]</f>
        <v>CR CONSIG</v>
      </c>
      <c r="F213" t="str">
        <f>Acrescentar1[[#This Row],[Historico]]</f>
        <v>CR CONSIG</v>
      </c>
      <c r="G213" s="6">
        <f>IF(Tbl_operations[[#This Row],[Operação Bancária]]="D",Acrescentar1[[#This Row],[Valor]]/100,Acrescentar1[[#This Row],[Valor]]/100)</f>
        <v>825.15</v>
      </c>
      <c r="H213" t="str">
        <f>Acrescentar1[[#This Row],[Deb_Cred]]</f>
        <v>C</v>
      </c>
      <c r="I213">
        <f>IF(Tbl_operations[[#This Row],[Status]]="POUPANÇA",Controller!$H$17,0)</f>
        <v>0</v>
      </c>
      <c r="J213" t="str">
        <f>IF(Tbl_operations[[#This Row],[Operação Bancária]]="C", "ENTRADA",IF(Tbl_operations[[#This Row],[Operação Bancária]]="P","POUPANÇA","SAIDA"))</f>
        <v>ENTRADA</v>
      </c>
    </row>
    <row r="214" spans="1:10" x14ac:dyDescent="0.3">
      <c r="A214" s="1">
        <f>Acrescentar1[[#This Row],[Data_Mov]]</f>
        <v>45625</v>
      </c>
      <c r="B214" s="1" t="str">
        <f>Acrescentar1[[#This Row],[Mês]]</f>
        <v>Novembro</v>
      </c>
      <c r="C214" s="33">
        <f>Acrescentar1[[#This Row],[Ano]]</f>
        <v>2024</v>
      </c>
      <c r="D214" t="str">
        <f>VLOOKUP(Tbl_operations[[#This Row],[Categoria]],$N$3:$O$111,2,0)</f>
        <v>PEDAGIO/ESTAC</v>
      </c>
      <c r="E214" t="str">
        <f>Acrescentar1[[#This Row],[Coluna2]]</f>
        <v>AUTOPISTA FERNAO</v>
      </c>
      <c r="F214" t="str">
        <f>Acrescentar1[[#This Row],[Historico]]</f>
        <v>COMPRA</v>
      </c>
      <c r="G214" s="6">
        <f>IF(Tbl_operations[[#This Row],[Operação Bancária]]="D",Acrescentar1[[#This Row],[Valor]]/100,Acrescentar1[[#This Row],[Valor]]/100)</f>
        <v>2.9</v>
      </c>
      <c r="H214" t="str">
        <f>Acrescentar1[[#This Row],[Deb_Cred]]</f>
        <v>D</v>
      </c>
      <c r="I214">
        <f>IF(Tbl_operations[[#This Row],[Status]]="POUPANÇA",Controller!$H$17,0)</f>
        <v>0</v>
      </c>
      <c r="J214" t="str">
        <f>IF(Tbl_operations[[#This Row],[Operação Bancária]]="C", "ENTRADA",IF(Tbl_operations[[#This Row],[Operação Bancária]]="P","POUPANÇA","SAIDA"))</f>
        <v>SAIDA</v>
      </c>
    </row>
    <row r="215" spans="1:10" x14ac:dyDescent="0.3">
      <c r="A215" s="1">
        <f>Acrescentar1[[#This Row],[Data_Mov]]</f>
        <v>45625</v>
      </c>
      <c r="B215" s="1" t="str">
        <f>Acrescentar1[[#This Row],[Mês]]</f>
        <v>Novembro</v>
      </c>
      <c r="C215" s="33">
        <f>Acrescentar1[[#This Row],[Ano]]</f>
        <v>2024</v>
      </c>
      <c r="D215" t="str">
        <f>VLOOKUP(Tbl_operations[[#This Row],[Categoria]],$N$3:$O$111,2,0)</f>
        <v>SALDO</v>
      </c>
      <c r="E215" t="str">
        <f>Acrescentar1[[#This Row],[Coluna2]]</f>
        <v>SALDO DIA</v>
      </c>
      <c r="F215" t="str">
        <f>Acrescentar1[[#This Row],[Historico]]</f>
        <v>SALDO DIA</v>
      </c>
      <c r="G215" s="6">
        <f>IF(Tbl_operations[[#This Row],[Operação Bancária]]="D",Acrescentar1[[#This Row],[Valor]]/100,Acrescentar1[[#This Row],[Valor]]/100)</f>
        <v>0</v>
      </c>
      <c r="H215" t="str">
        <f>Acrescentar1[[#This Row],[Deb_Cred]]</f>
        <v>C</v>
      </c>
      <c r="I215">
        <f>IF(Tbl_operations[[#This Row],[Status]]="POUPANÇA",Controller!$H$17,0)</f>
        <v>0</v>
      </c>
      <c r="J215" t="str">
        <f>IF(Tbl_operations[[#This Row],[Operação Bancária]]="C", "ENTRADA",IF(Tbl_operations[[#This Row],[Operação Bancária]]="P","POUPANÇA","SAIDA"))</f>
        <v>ENTRADA</v>
      </c>
    </row>
    <row r="216" spans="1:10" x14ac:dyDescent="0.3">
      <c r="A216" s="1">
        <f>Acrescentar1[[#This Row],[Data_Mov]]</f>
        <v>45628</v>
      </c>
      <c r="B216" s="1" t="str">
        <f>Acrescentar1[[#This Row],[Mês]]</f>
        <v>Dezembro</v>
      </c>
      <c r="C216" s="33">
        <f>Acrescentar1[[#This Row],[Ano]]</f>
        <v>2024</v>
      </c>
      <c r="D216" t="str">
        <f>VLOOKUP(Tbl_operations[[#This Row],[Categoria]],$N$3:$O$111,2,0)</f>
        <v>DEBITO</v>
      </c>
      <c r="E216" t="str">
        <f>Acrescentar1[[#This Row],[Coluna2]]</f>
        <v>DB AP POUP</v>
      </c>
      <c r="F216" t="str">
        <f>Acrescentar1[[#This Row],[Historico]]</f>
        <v>DB AP POUP</v>
      </c>
      <c r="G216" s="6">
        <f>IF(Tbl_operations[[#This Row],[Operação Bancária]]="D",Acrescentar1[[#This Row],[Valor]]/100,Acrescentar1[[#This Row],[Valor]]/100)</f>
        <v>900</v>
      </c>
      <c r="H216" t="str">
        <f>Acrescentar1[[#This Row],[Deb_Cred]]</f>
        <v>D</v>
      </c>
      <c r="I216">
        <f>IF(Tbl_operations[[#This Row],[Status]]="POUPANÇA",Controller!$H$17,0)</f>
        <v>0</v>
      </c>
      <c r="J216" t="str">
        <f>IF(Tbl_operations[[#This Row],[Operação Bancária]]="C", "ENTRADA",IF(Tbl_operations[[#This Row],[Operação Bancária]]="P","POUPANÇA","SAIDA"))</f>
        <v>SAIDA</v>
      </c>
    </row>
    <row r="217" spans="1:10" x14ac:dyDescent="0.3">
      <c r="A217" s="1">
        <f>Acrescentar1[[#This Row],[Data_Mov]]</f>
        <v>45628</v>
      </c>
      <c r="B217" s="1" t="str">
        <f>Acrescentar1[[#This Row],[Mês]]</f>
        <v>Dezembro</v>
      </c>
      <c r="C217" s="33">
        <f>Acrescentar1[[#This Row],[Ano]]</f>
        <v>2024</v>
      </c>
      <c r="D217" t="str">
        <f>VLOOKUP(Tbl_operations[[#This Row],[Categoria]],$N$3:$O$111,2,0)</f>
        <v>PAI-DIRCE</v>
      </c>
      <c r="E217" t="str">
        <f>Acrescentar1[[#This Row],[Coluna2]]</f>
        <v>DEB WHATS</v>
      </c>
      <c r="F217" t="str">
        <f>Acrescentar1[[#This Row],[Historico]]</f>
        <v>DEB WHATS</v>
      </c>
      <c r="G217" s="6">
        <f>IF(Tbl_operations[[#This Row],[Operação Bancária]]="D",Acrescentar1[[#This Row],[Valor]]/100,Acrescentar1[[#This Row],[Valor]]/100)</f>
        <v>30</v>
      </c>
      <c r="H217" t="str">
        <f>Acrescentar1[[#This Row],[Deb_Cred]]</f>
        <v>D</v>
      </c>
      <c r="I217">
        <f>IF(Tbl_operations[[#This Row],[Status]]="POUPANÇA",Controller!$H$17,0)</f>
        <v>0</v>
      </c>
      <c r="J217" t="str">
        <f>IF(Tbl_operations[[#This Row],[Operação Bancária]]="C", "ENTRADA",IF(Tbl_operations[[#This Row],[Operação Bancária]]="P","POUPANÇA","SAIDA"))</f>
        <v>SAIDA</v>
      </c>
    </row>
    <row r="218" spans="1:10" x14ac:dyDescent="0.3">
      <c r="A218" s="1">
        <f>Acrescentar1[[#This Row],[Data_Mov]]</f>
        <v>45628</v>
      </c>
      <c r="B218" s="1" t="str">
        <f>Acrescentar1[[#This Row],[Mês]]</f>
        <v>Dezembro</v>
      </c>
      <c r="C218" s="33">
        <f>Acrescentar1[[#This Row],[Ano]]</f>
        <v>2024</v>
      </c>
      <c r="D218" t="str">
        <f>VLOOKUP(Tbl_operations[[#This Row],[Categoria]],$N$3:$O$111,2,0)</f>
        <v>INVESTIMENTO</v>
      </c>
      <c r="E218" t="str">
        <f>Acrescentar1[[#This Row],[Coluna2]]</f>
        <v>APP</v>
      </c>
      <c r="F218" t="str">
        <f>Acrescentar1[[#This Row],[Historico]]</f>
        <v>APP</v>
      </c>
      <c r="G218" s="6">
        <f>IF(Tbl_operations[[#This Row],[Operação Bancária]]="D",Acrescentar1[[#This Row],[Valor]]/100,Acrescentar1[[#This Row],[Valor]]/100)</f>
        <v>5</v>
      </c>
      <c r="H218" t="str">
        <f>Acrescentar1[[#This Row],[Deb_Cred]]</f>
        <v>D</v>
      </c>
      <c r="I218">
        <f>IF(Tbl_operations[[#This Row],[Status]]="POUPANÇA",Controller!$H$17,0)</f>
        <v>0</v>
      </c>
      <c r="J218" t="str">
        <f>IF(Tbl_operations[[#This Row],[Operação Bancária]]="C", "ENTRADA",IF(Tbl_operations[[#This Row],[Operação Bancária]]="P","POUPANÇA","SAIDA"))</f>
        <v>SAIDA</v>
      </c>
    </row>
    <row r="219" spans="1:10" x14ac:dyDescent="0.3">
      <c r="A219" s="1">
        <f>Acrescentar1[[#This Row],[Data_Mov]]</f>
        <v>45628</v>
      </c>
      <c r="B219" s="1" t="str">
        <f>Acrescentar1[[#This Row],[Mês]]</f>
        <v>Dezembro</v>
      </c>
      <c r="C219" s="33">
        <f>Acrescentar1[[#This Row],[Ano]]</f>
        <v>2024</v>
      </c>
      <c r="D219" t="str">
        <f>VLOOKUP(Tbl_operations[[#This Row],[Categoria]],$N$3:$O$111,2,0)</f>
        <v>COMBUSTIVEL</v>
      </c>
      <c r="E219" t="str">
        <f>Acrescentar1[[#This Row],[Coluna2]]</f>
        <v>AutoPostoVitrine</v>
      </c>
      <c r="F219" t="str">
        <f>Acrescentar1[[#This Row],[Historico]]</f>
        <v>COMPRA</v>
      </c>
      <c r="G219" s="6">
        <f>IF(Tbl_operations[[#This Row],[Operação Bancária]]="D",Acrescentar1[[#This Row],[Valor]]/100,Acrescentar1[[#This Row],[Valor]]/100)</f>
        <v>100</v>
      </c>
      <c r="H219" t="str">
        <f>Acrescentar1[[#This Row],[Deb_Cred]]</f>
        <v>D</v>
      </c>
      <c r="I219">
        <f>IF(Tbl_operations[[#This Row],[Status]]="POUPANÇA",Controller!$H$17,0)</f>
        <v>0</v>
      </c>
      <c r="J219" t="str">
        <f>IF(Tbl_operations[[#This Row],[Operação Bancária]]="C", "ENTRADA",IF(Tbl_operations[[#This Row],[Operação Bancária]]="P","POUPANÇA","SAIDA"))</f>
        <v>SAIDA</v>
      </c>
    </row>
    <row r="220" spans="1:10" x14ac:dyDescent="0.3">
      <c r="A220" s="1">
        <f>Acrescentar1[[#This Row],[Data_Mov]]</f>
        <v>45628</v>
      </c>
      <c r="B220" s="1" t="str">
        <f>Acrescentar1[[#This Row],[Mês]]</f>
        <v>Dezembro</v>
      </c>
      <c r="C220" s="33">
        <f>Acrescentar1[[#This Row],[Ano]]</f>
        <v>2024</v>
      </c>
      <c r="D220" t="str">
        <f>VLOOKUP(Tbl_operations[[#This Row],[Categoria]],$N$3:$O$111,2,0)</f>
        <v>PEDAGIO/ESTAC</v>
      </c>
      <c r="E220" t="str">
        <f>Acrescentar1[[#This Row],[Coluna2]]</f>
        <v>AUTOPISTA FERNAO</v>
      </c>
      <c r="F220" t="str">
        <f>Acrescentar1[[#This Row],[Historico]]</f>
        <v>COMPRA</v>
      </c>
      <c r="G220" s="6">
        <f>IF(Tbl_operations[[#This Row],[Operação Bancária]]="D",Acrescentar1[[#This Row],[Valor]]/100,Acrescentar1[[#This Row],[Valor]]/100)</f>
        <v>2.9</v>
      </c>
      <c r="H220" t="str">
        <f>Acrescentar1[[#This Row],[Deb_Cred]]</f>
        <v>D</v>
      </c>
      <c r="I220">
        <f>IF(Tbl_operations[[#This Row],[Status]]="POUPANÇA",Controller!$H$17,0)</f>
        <v>0</v>
      </c>
      <c r="J220" t="str">
        <f>IF(Tbl_operations[[#This Row],[Operação Bancária]]="C", "ENTRADA",IF(Tbl_operations[[#This Row],[Operação Bancária]]="P","POUPANÇA","SAIDA"))</f>
        <v>SAIDA</v>
      </c>
    </row>
    <row r="221" spans="1:10" x14ac:dyDescent="0.3">
      <c r="A221" s="1">
        <f>Acrescentar1[[#This Row],[Data_Mov]]</f>
        <v>45628</v>
      </c>
      <c r="B221" s="1" t="str">
        <f>Acrescentar1[[#This Row],[Mês]]</f>
        <v>Dezembro</v>
      </c>
      <c r="C221" s="33">
        <f>Acrescentar1[[#This Row],[Ano]]</f>
        <v>2024</v>
      </c>
      <c r="D221" t="str">
        <f>VLOOKUP(Tbl_operations[[#This Row],[Categoria]],$N$3:$O$111,2,0)</f>
        <v>RESGATE INVEST</v>
      </c>
      <c r="E221" t="str">
        <f>Acrescentar1[[#This Row],[Coluna2]]</f>
        <v>CRB FPAY</v>
      </c>
      <c r="F221" t="str">
        <f>Acrescentar1[[#This Row],[Historico]]</f>
        <v>COMPRA</v>
      </c>
      <c r="G221" s="6">
        <f>IF(Tbl_operations[[#This Row],[Operação Bancária]]="D",Acrescentar1[[#This Row],[Valor]]/100,Acrescentar1[[#This Row],[Valor]]/100)</f>
        <v>10.1</v>
      </c>
      <c r="H221" t="str">
        <f>Acrescentar1[[#This Row],[Deb_Cred]]</f>
        <v>D</v>
      </c>
      <c r="I221">
        <f>IF(Tbl_operations[[#This Row],[Status]]="POUPANÇA",Controller!$H$17,0)</f>
        <v>0</v>
      </c>
      <c r="J221" t="str">
        <f>IF(Tbl_operations[[#This Row],[Operação Bancária]]="C", "ENTRADA",IF(Tbl_operations[[#This Row],[Operação Bancária]]="P","POUPANÇA","SAIDA"))</f>
        <v>SAIDA</v>
      </c>
    </row>
    <row r="222" spans="1:10" x14ac:dyDescent="0.3">
      <c r="A222" s="1">
        <f>Acrescentar1[[#This Row],[Data_Mov]]</f>
        <v>45628</v>
      </c>
      <c r="B222" s="1" t="str">
        <f>Acrescentar1[[#This Row],[Mês]]</f>
        <v>Dezembro</v>
      </c>
      <c r="C222" s="33">
        <f>Acrescentar1[[#This Row],[Ano]]</f>
        <v>2024</v>
      </c>
      <c r="D222" t="str">
        <f>VLOOKUP(Tbl_operations[[#This Row],[Categoria]],$N$3:$O$111,2,0)</f>
        <v>SUPERMERCADO</v>
      </c>
      <c r="E222" t="str">
        <f>Acrescentar1[[#This Row],[Coluna2]]</f>
        <v>SUPERMERCADO CATR</v>
      </c>
      <c r="F222" t="str">
        <f>Acrescentar1[[#This Row],[Historico]]</f>
        <v>COMPRA</v>
      </c>
      <c r="G222" s="6">
        <f>IF(Tbl_operations[[#This Row],[Operação Bancária]]="D",Acrescentar1[[#This Row],[Valor]]/100,Acrescentar1[[#This Row],[Valor]]/100)</f>
        <v>49.16</v>
      </c>
      <c r="H222" t="str">
        <f>Acrescentar1[[#This Row],[Deb_Cred]]</f>
        <v>D</v>
      </c>
      <c r="I222">
        <f>IF(Tbl_operations[[#This Row],[Status]]="POUPANÇA",Controller!$H$17,0)</f>
        <v>0</v>
      </c>
      <c r="J222" t="str">
        <f>IF(Tbl_operations[[#This Row],[Operação Bancária]]="C", "ENTRADA",IF(Tbl_operations[[#This Row],[Operação Bancária]]="P","POUPANÇA","SAIDA"))</f>
        <v>SAIDA</v>
      </c>
    </row>
    <row r="223" spans="1:10" x14ac:dyDescent="0.3">
      <c r="A223" s="1">
        <f>Acrescentar1[[#This Row],[Data_Mov]]</f>
        <v>45628</v>
      </c>
      <c r="B223" s="1" t="str">
        <f>Acrescentar1[[#This Row],[Mês]]</f>
        <v>Dezembro</v>
      </c>
      <c r="C223" s="33">
        <f>Acrescentar1[[#This Row],[Ano]]</f>
        <v>2024</v>
      </c>
      <c r="D223" t="str">
        <f>VLOOKUP(Tbl_operations[[#This Row],[Categoria]],$N$3:$O$111,2,0)</f>
        <v>TX_JUROS-IOF</v>
      </c>
      <c r="E223" t="str">
        <f>Acrescentar1[[#This Row],[Coluna2]]</f>
        <v>DEB IOF</v>
      </c>
      <c r="F223" t="str">
        <f>Acrescentar1[[#This Row],[Historico]]</f>
        <v>DEB IOF</v>
      </c>
      <c r="G223" s="6">
        <f>IF(Tbl_operations[[#This Row],[Operação Bancária]]="D",Acrescentar1[[#This Row],[Valor]]/100,Acrescentar1[[#This Row],[Valor]]/100)</f>
        <v>6.23</v>
      </c>
      <c r="H223" t="str">
        <f>Acrescentar1[[#This Row],[Deb_Cred]]</f>
        <v>D</v>
      </c>
      <c r="I223">
        <f>IF(Tbl_operations[[#This Row],[Status]]="POUPANÇA",Controller!$H$17,0)</f>
        <v>0</v>
      </c>
      <c r="J223" t="str">
        <f>IF(Tbl_operations[[#This Row],[Operação Bancária]]="C", "ENTRADA",IF(Tbl_operations[[#This Row],[Operação Bancária]]="P","POUPANÇA","SAIDA"))</f>
        <v>SAIDA</v>
      </c>
    </row>
    <row r="224" spans="1:10" x14ac:dyDescent="0.3">
      <c r="A224" s="1">
        <f>Acrescentar1[[#This Row],[Data_Mov]]</f>
        <v>45628</v>
      </c>
      <c r="B224" s="1" t="str">
        <f>Acrescentar1[[#This Row],[Mês]]</f>
        <v>Dezembro</v>
      </c>
      <c r="C224" s="33">
        <f>Acrescentar1[[#This Row],[Ano]]</f>
        <v>2024</v>
      </c>
      <c r="D224" t="str">
        <f>VLOOKUP(Tbl_operations[[#This Row],[Categoria]],$N$3:$O$111,2,0)</f>
        <v>TX_JUROS-IOF</v>
      </c>
      <c r="E224" t="str">
        <f>Acrescentar1[[#This Row],[Coluna2]]</f>
        <v>DEB JUROS</v>
      </c>
      <c r="F224" t="str">
        <f>Acrescentar1[[#This Row],[Historico]]</f>
        <v>DEB JUROS</v>
      </c>
      <c r="G224" s="6">
        <f>IF(Tbl_operations[[#This Row],[Operação Bancária]]="D",Acrescentar1[[#This Row],[Valor]]/100,Acrescentar1[[#This Row],[Valor]]/100)</f>
        <v>57.1</v>
      </c>
      <c r="H224" t="str">
        <f>Acrescentar1[[#This Row],[Deb_Cred]]</f>
        <v>D</v>
      </c>
      <c r="I224">
        <f>IF(Tbl_operations[[#This Row],[Status]]="POUPANÇA",Controller!$H$17,0)</f>
        <v>0</v>
      </c>
      <c r="J224" t="str">
        <f>IF(Tbl_operations[[#This Row],[Operação Bancária]]="C", "ENTRADA",IF(Tbl_operations[[#This Row],[Operação Bancária]]="P","POUPANÇA","SAIDA"))</f>
        <v>SAIDA</v>
      </c>
    </row>
    <row r="225" spans="1:10" x14ac:dyDescent="0.3">
      <c r="A225" s="1">
        <f>Acrescentar1[[#This Row],[Data_Mov]]</f>
        <v>45628</v>
      </c>
      <c r="B225" s="1" t="str">
        <f>Acrescentar1[[#This Row],[Mês]]</f>
        <v>Dezembro</v>
      </c>
      <c r="C225" s="33">
        <f>Acrescentar1[[#This Row],[Ano]]</f>
        <v>2024</v>
      </c>
      <c r="D225" t="str">
        <f>VLOOKUP(Tbl_operations[[#This Row],[Categoria]],$N$3:$O$111,2,0)</f>
        <v>SALDO</v>
      </c>
      <c r="E225" t="str">
        <f>Acrescentar1[[#This Row],[Coluna2]]</f>
        <v>SALDO DIA</v>
      </c>
      <c r="F225" t="str">
        <f>Acrescentar1[[#This Row],[Historico]]</f>
        <v>SALDO DIA</v>
      </c>
      <c r="G225" s="6">
        <f>IF(Tbl_operations[[#This Row],[Operação Bancária]]="D",Acrescentar1[[#This Row],[Valor]]/100,Acrescentar1[[#This Row],[Valor]]/100)</f>
        <v>0</v>
      </c>
      <c r="H225" t="str">
        <f>Acrescentar1[[#This Row],[Deb_Cred]]</f>
        <v>D</v>
      </c>
      <c r="I225">
        <f>IF(Tbl_operations[[#This Row],[Status]]="POUPANÇA",Controller!$H$17,0)</f>
        <v>0</v>
      </c>
      <c r="J225" t="str">
        <f>IF(Tbl_operations[[#This Row],[Operação Bancária]]="C", "ENTRADA",IF(Tbl_operations[[#This Row],[Operação Bancária]]="P","POUPANÇA","SAIDA"))</f>
        <v>SAIDA</v>
      </c>
    </row>
    <row r="226" spans="1:10" x14ac:dyDescent="0.3">
      <c r="A226" s="1">
        <f>Acrescentar1[[#This Row],[Data_Mov]]</f>
        <v>45616</v>
      </c>
      <c r="B226" s="1" t="str">
        <f>Acrescentar1[[#This Row],[Mês]]</f>
        <v>Novembro</v>
      </c>
      <c r="C226" s="33">
        <f>Acrescentar1[[#This Row],[Ano]]</f>
        <v>2024</v>
      </c>
      <c r="D226" t="str">
        <f>VLOOKUP(Tbl_operations[[#This Row],[Categoria]],$N$3:$O$111,2,0)</f>
        <v>ECONOMIA</v>
      </c>
      <c r="E226" t="str">
        <f>Acrescentar1[[#This Row],[Coluna2]]</f>
        <v>FUNCEF PREV</v>
      </c>
      <c r="F226" t="str">
        <f>Acrescentar1[[#This Row],[Historico]]</f>
        <v>FUNCEF PREV</v>
      </c>
      <c r="G226" s="6">
        <f>IF(Tbl_operations[[#This Row],[Operação Bancária]]="D",Acrescentar1[[#This Row],[Valor]]/100,Acrescentar1[[#This Row],[Valor]]/100)</f>
        <v>565.6</v>
      </c>
      <c r="H226" t="str">
        <f>Acrescentar1[[#This Row],[Deb_Cred]]</f>
        <v>P</v>
      </c>
      <c r="I226">
        <f>IF(Tbl_operations[[#This Row],[Status]]="POUPANÇA",Controller!$H$17,0)</f>
        <v>7000</v>
      </c>
      <c r="J226" t="str">
        <f>IF(Tbl_operations[[#This Row],[Operação Bancária]]="C", "ENTRADA",IF(Tbl_operations[[#This Row],[Operação Bancária]]="P","POUPANÇA","SAIDA"))</f>
        <v>POUPANÇA</v>
      </c>
    </row>
    <row r="227" spans="1:10" x14ac:dyDescent="0.3">
      <c r="A227" s="1">
        <f>Acrescentar1[[#This Row],[Data_Mov]]</f>
        <v>45616</v>
      </c>
      <c r="B227" s="1" t="str">
        <f>Acrescentar1[[#This Row],[Mês]]</f>
        <v>Novembro</v>
      </c>
      <c r="C227" s="33">
        <f>Acrescentar1[[#This Row],[Ano]]</f>
        <v>2024</v>
      </c>
      <c r="D227" t="str">
        <f>VLOOKUP(Tbl_operations[[#This Row],[Categoria]],$N$3:$O$111,2,0)</f>
        <v>ECONOMIA</v>
      </c>
      <c r="E227" t="str">
        <f>Acrescentar1[[#This Row],[Coluna2]]</f>
        <v>FUNCEF PREV</v>
      </c>
      <c r="F227" t="str">
        <f>Acrescentar1[[#This Row],[Historico]]</f>
        <v>FUNCEF PREV</v>
      </c>
      <c r="G227" s="6">
        <f>IF(Tbl_operations[[#This Row],[Operação Bancária]]="D",Acrescentar1[[#This Row],[Valor]]/100,Acrescentar1[[#This Row],[Valor]]/100)</f>
        <v>298.45</v>
      </c>
      <c r="H227" t="str">
        <f>Acrescentar1[[#This Row],[Deb_Cred]]</f>
        <v>P</v>
      </c>
      <c r="I227">
        <f>IF(Tbl_operations[[#This Row],[Status]]="POUPANÇA",Controller!$H$17,0)</f>
        <v>7000</v>
      </c>
      <c r="J227" t="str">
        <f>IF(Tbl_operations[[#This Row],[Operação Bancária]]="C", "ENTRADA",IF(Tbl_operations[[#This Row],[Operação Bancária]]="P","POUPANÇA","SAIDA"))</f>
        <v>POUPANÇA</v>
      </c>
    </row>
    <row r="228" spans="1:10" x14ac:dyDescent="0.3">
      <c r="A228" s="1">
        <f>Acrescentar1[[#This Row],[Data_Mov]]</f>
        <v>45646</v>
      </c>
      <c r="B228" s="1" t="str">
        <f>Acrescentar1[[#This Row],[Mês]]</f>
        <v>Dezembro</v>
      </c>
      <c r="C228" s="33">
        <f>Acrescentar1[[#This Row],[Ano]]</f>
        <v>2024</v>
      </c>
      <c r="D228" t="str">
        <f>VLOOKUP(Tbl_operations[[#This Row],[Categoria]],$N$3:$O$111,2,0)</f>
        <v>ECONOMIA</v>
      </c>
      <c r="E228" t="str">
        <f>Acrescentar1[[#This Row],[Coluna2]]</f>
        <v>FUNCEF PREV</v>
      </c>
      <c r="F228" t="str">
        <f>Acrescentar1[[#This Row],[Historico]]</f>
        <v>FUNCEF PREV</v>
      </c>
      <c r="G228" s="6">
        <f>IF(Tbl_operations[[#This Row],[Operação Bancária]]="D",Acrescentar1[[#This Row],[Valor]]/100,Acrescentar1[[#This Row],[Valor]]/100)</f>
        <v>565.6</v>
      </c>
      <c r="H228" t="str">
        <f>Acrescentar1[[#This Row],[Deb_Cred]]</f>
        <v>P</v>
      </c>
      <c r="I228">
        <f>IF(Tbl_operations[[#This Row],[Status]]="POUPANÇA",Controller!$H$17,0)</f>
        <v>7000</v>
      </c>
      <c r="J228" t="str">
        <f>IF(Tbl_operations[[#This Row],[Operação Bancária]]="C", "ENTRADA",IF(Tbl_operations[[#This Row],[Operação Bancária]]="P","POUPANÇA","SAIDA"))</f>
        <v>POUPANÇA</v>
      </c>
    </row>
    <row r="229" spans="1:10" x14ac:dyDescent="0.3">
      <c r="A229" s="1">
        <f>Acrescentar1[[#This Row],[Data_Mov]]</f>
        <v>45677</v>
      </c>
      <c r="B229" s="1" t="str">
        <f>Acrescentar1[[#This Row],[Mês]]</f>
        <v>Janeiro</v>
      </c>
      <c r="C229" s="33">
        <f>Acrescentar1[[#This Row],[Ano]]</f>
        <v>2025</v>
      </c>
      <c r="D229" t="str">
        <f>VLOOKUP(Tbl_operations[[#This Row],[Categoria]],$N$3:$O$111,2,0)</f>
        <v>ECONOMIA</v>
      </c>
      <c r="E229" t="str">
        <f>Acrescentar1[[#This Row],[Coluna2]]</f>
        <v>FUNCEF PREV</v>
      </c>
      <c r="F229" t="str">
        <f>Acrescentar1[[#This Row],[Historico]]</f>
        <v>FUNCEF PREV</v>
      </c>
      <c r="G229" s="6">
        <v>1000</v>
      </c>
      <c r="H229" t="str">
        <f>Acrescentar1[[#This Row],[Deb_Cred]]</f>
        <v>P</v>
      </c>
      <c r="I229">
        <f>IF(Tbl_operations[[#This Row],[Status]]="POUPANÇA",Controller!$H$17,0)</f>
        <v>7000</v>
      </c>
      <c r="J229" t="str">
        <f>IF(Tbl_operations[[#This Row],[Operação Bancária]]="C", "ENTRADA",IF(Tbl_operations[[#This Row],[Operação Bancária]]="P","POUPANÇA","SAIDA"))</f>
        <v>POUPANÇA</v>
      </c>
    </row>
    <row r="230" spans="1:10" x14ac:dyDescent="0.3">
      <c r="A230" s="1"/>
      <c r="B230" s="1"/>
      <c r="C230" s="33"/>
      <c r="I230">
        <f>IF(Tbl_operations[[#This Row],[Status]]="POUPANÇA",Controller!H21,0)</f>
        <v>0</v>
      </c>
    </row>
    <row r="231" spans="1:10" x14ac:dyDescent="0.3">
      <c r="A231" s="1"/>
      <c r="B231" s="1"/>
      <c r="C231" s="1"/>
    </row>
    <row r="232" spans="1:10" x14ac:dyDescent="0.3">
      <c r="A232" s="1"/>
      <c r="B232" s="1"/>
      <c r="C232" s="1"/>
    </row>
    <row r="233" spans="1:10" x14ac:dyDescent="0.3">
      <c r="A233" s="1"/>
      <c r="B233" s="1"/>
      <c r="C233" s="1"/>
    </row>
    <row r="234" spans="1:10" x14ac:dyDescent="0.3">
      <c r="A234" s="1"/>
      <c r="B234" s="1"/>
      <c r="C234" s="1"/>
    </row>
    <row r="235" spans="1:10" x14ac:dyDescent="0.3">
      <c r="A235" s="1"/>
      <c r="B235" s="1"/>
      <c r="C235" s="1"/>
    </row>
    <row r="236" spans="1:10" x14ac:dyDescent="0.3">
      <c r="A236" s="1"/>
      <c r="B236" s="1"/>
      <c r="C236" s="1"/>
    </row>
    <row r="237" spans="1:10" x14ac:dyDescent="0.3">
      <c r="A237" s="1"/>
      <c r="B237" s="1"/>
      <c r="C237" s="1"/>
    </row>
    <row r="238" spans="1:10" x14ac:dyDescent="0.3">
      <c r="A238" s="1"/>
      <c r="B238" s="1"/>
      <c r="C238" s="1"/>
    </row>
    <row r="239" spans="1:10" x14ac:dyDescent="0.3">
      <c r="A239" s="1"/>
      <c r="B239" s="1"/>
      <c r="C239" s="1"/>
    </row>
    <row r="240" spans="1:10" x14ac:dyDescent="0.3">
      <c r="A240" s="1"/>
      <c r="B240" s="1"/>
      <c r="C240" s="1"/>
    </row>
    <row r="241" spans="1:3" x14ac:dyDescent="0.3">
      <c r="A241" s="1"/>
      <c r="B241" s="1"/>
      <c r="C241" s="1"/>
    </row>
    <row r="242" spans="1:3" x14ac:dyDescent="0.3">
      <c r="A242" s="1"/>
      <c r="B242" s="1"/>
      <c r="C242" s="1"/>
    </row>
    <row r="243" spans="1:3" x14ac:dyDescent="0.3">
      <c r="A243" s="1"/>
      <c r="B243" s="1"/>
      <c r="C243" s="1"/>
    </row>
    <row r="244" spans="1:3" x14ac:dyDescent="0.3">
      <c r="A244" s="1"/>
      <c r="B244" s="1"/>
      <c r="C244" s="1"/>
    </row>
    <row r="245" spans="1:3" x14ac:dyDescent="0.3">
      <c r="A245" s="1"/>
      <c r="B245" s="1"/>
      <c r="C245" s="1"/>
    </row>
    <row r="246" spans="1:3" x14ac:dyDescent="0.3">
      <c r="A246" s="1"/>
      <c r="B246" s="1"/>
      <c r="C246" s="1"/>
    </row>
    <row r="247" spans="1:3" x14ac:dyDescent="0.3">
      <c r="A247" s="1"/>
      <c r="B247" s="1"/>
      <c r="C247" s="1"/>
    </row>
    <row r="248" spans="1:3" x14ac:dyDescent="0.3">
      <c r="A248" s="1"/>
      <c r="B248" s="1"/>
      <c r="C248" s="1"/>
    </row>
    <row r="249" spans="1:3" x14ac:dyDescent="0.3">
      <c r="A249" s="1"/>
      <c r="B249" s="1"/>
      <c r="C249" s="1"/>
    </row>
    <row r="250" spans="1:3" x14ac:dyDescent="0.3">
      <c r="A250" s="1"/>
      <c r="B250" s="1"/>
      <c r="C250" s="1"/>
    </row>
    <row r="251" spans="1:3" x14ac:dyDescent="0.3">
      <c r="A251" s="1"/>
      <c r="B251" s="1"/>
      <c r="C251" s="1"/>
    </row>
    <row r="252" spans="1:3" x14ac:dyDescent="0.3">
      <c r="A252" s="1"/>
      <c r="B252" s="1"/>
      <c r="C252" s="1"/>
    </row>
    <row r="253" spans="1:3" x14ac:dyDescent="0.3">
      <c r="A253" s="1"/>
      <c r="B253" s="1"/>
      <c r="C253" s="1"/>
    </row>
    <row r="254" spans="1:3" x14ac:dyDescent="0.3">
      <c r="A254" s="1"/>
      <c r="B254" s="1"/>
      <c r="C254" s="1"/>
    </row>
    <row r="255" spans="1:3" x14ac:dyDescent="0.3">
      <c r="A255" s="1"/>
      <c r="B255" s="1"/>
      <c r="C255" s="1"/>
    </row>
    <row r="256" spans="1:3" x14ac:dyDescent="0.3">
      <c r="A256" s="1"/>
      <c r="B256" s="1"/>
      <c r="C256" s="1"/>
    </row>
    <row r="257" spans="1:3" x14ac:dyDescent="0.3">
      <c r="A257" s="1"/>
      <c r="B257" s="1"/>
      <c r="C257" s="1"/>
    </row>
    <row r="258" spans="1:3" x14ac:dyDescent="0.3">
      <c r="A258" s="1"/>
      <c r="B258" s="1"/>
      <c r="C258" s="1"/>
    </row>
    <row r="259" spans="1:3" x14ac:dyDescent="0.3">
      <c r="A259" s="1"/>
      <c r="B259" s="1"/>
      <c r="C259" s="1"/>
    </row>
    <row r="260" spans="1:3" x14ac:dyDescent="0.3">
      <c r="A260" s="1"/>
      <c r="B260" s="1"/>
      <c r="C260" s="1"/>
    </row>
    <row r="261" spans="1:3" x14ac:dyDescent="0.3">
      <c r="A261" s="1"/>
      <c r="B261" s="1"/>
      <c r="C261" s="1"/>
    </row>
  </sheetData>
  <sheetProtection algorithmName="SHA-512" hashValue="kclglRVLmqnxcr/p3B1Y2ODPTzZqT3CMcEj2cYBQ0SVoX9x/Ehyo4IEdncPN3Ynex0AQNCge4r9HbBlf41IXlw==" saltValue="8eSf12AD1XKterAiXXd/xw==" spinCount="100000" sheet="1" objects="1" scenarios="1" autoFilter="0" pivotTables="0"/>
  <autoFilter ref="N2:O61" xr:uid="{00000000-0009-0000-0000-000001000000}"/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C2:N28"/>
  <sheetViews>
    <sheetView showGridLines="0" showRowColHeaders="0" workbookViewId="0">
      <selection activeCell="I226" sqref="I226"/>
    </sheetView>
  </sheetViews>
  <sheetFormatPr defaultRowHeight="14.4" x14ac:dyDescent="0.3"/>
  <cols>
    <col min="1" max="1" width="2.44140625" customWidth="1"/>
    <col min="2" max="2" width="2" customWidth="1"/>
    <col min="3" max="3" width="21.6640625" bestFit="1" customWidth="1"/>
    <col min="4" max="4" width="12.77734375" bestFit="1" customWidth="1"/>
    <col min="5" max="5" width="16.109375" bestFit="1" customWidth="1"/>
    <col min="6" max="6" width="9.33203125" bestFit="1" customWidth="1"/>
    <col min="7" max="7" width="10.44140625" bestFit="1" customWidth="1"/>
    <col min="8" max="8" width="17.44140625" bestFit="1" customWidth="1"/>
    <col min="9" max="9" width="10.5546875" bestFit="1" customWidth="1"/>
    <col min="10" max="10" width="12.44140625" bestFit="1" customWidth="1"/>
    <col min="11" max="11" width="10.5546875" bestFit="1" customWidth="1"/>
    <col min="12" max="12" width="12.77734375" bestFit="1" customWidth="1"/>
    <col min="13" max="13" width="7.109375" bestFit="1" customWidth="1"/>
    <col min="14" max="15" width="12.77734375" bestFit="1" customWidth="1"/>
    <col min="16" max="17" width="12.5546875" bestFit="1" customWidth="1"/>
    <col min="18" max="18" width="15.6640625" bestFit="1" customWidth="1"/>
    <col min="19" max="19" width="12.5546875" bestFit="1" customWidth="1"/>
    <col min="20" max="20" width="15.6640625" bestFit="1" customWidth="1"/>
    <col min="21" max="21" width="12.5546875" bestFit="1" customWidth="1"/>
    <col min="22" max="22" width="15.6640625" bestFit="1" customWidth="1"/>
    <col min="23" max="24" width="12.5546875" bestFit="1" customWidth="1"/>
    <col min="25" max="25" width="15.6640625" bestFit="1" customWidth="1"/>
    <col min="26" max="27" width="12.5546875" bestFit="1" customWidth="1"/>
    <col min="28" max="28" width="15.6640625" bestFit="1" customWidth="1"/>
    <col min="29" max="29" width="12.5546875" bestFit="1" customWidth="1"/>
    <col min="30" max="30" width="15.6640625" bestFit="1" customWidth="1"/>
    <col min="31" max="32" width="12.5546875" bestFit="1" customWidth="1"/>
    <col min="33" max="33" width="15.6640625" bestFit="1" customWidth="1"/>
    <col min="34" max="35" width="12.5546875" bestFit="1" customWidth="1"/>
    <col min="36" max="36" width="15.6640625" bestFit="1" customWidth="1"/>
    <col min="37" max="37" width="12.5546875" bestFit="1" customWidth="1"/>
    <col min="38" max="38" width="15.6640625" bestFit="1" customWidth="1"/>
    <col min="39" max="40" width="12.5546875" bestFit="1" customWidth="1"/>
    <col min="41" max="41" width="15.6640625" bestFit="1" customWidth="1"/>
    <col min="42" max="42" width="12.5546875" bestFit="1" customWidth="1"/>
    <col min="43" max="43" width="15.6640625" bestFit="1" customWidth="1"/>
    <col min="44" max="45" width="12.5546875" bestFit="1" customWidth="1"/>
    <col min="46" max="46" width="15.6640625" bestFit="1" customWidth="1"/>
    <col min="47" max="47" width="12.5546875" bestFit="1" customWidth="1"/>
    <col min="48" max="48" width="15.6640625" bestFit="1" customWidth="1"/>
    <col min="49" max="50" width="12.5546875" bestFit="1" customWidth="1"/>
    <col min="51" max="51" width="15.6640625" bestFit="1" customWidth="1"/>
    <col min="52" max="53" width="12.5546875" bestFit="1" customWidth="1"/>
    <col min="54" max="54" width="15.6640625" bestFit="1" customWidth="1"/>
    <col min="55" max="55" width="12.5546875" bestFit="1" customWidth="1"/>
    <col min="56" max="56" width="15.6640625" bestFit="1" customWidth="1"/>
    <col min="57" max="57" width="12.5546875" bestFit="1" customWidth="1"/>
    <col min="58" max="58" width="15.6640625" bestFit="1" customWidth="1"/>
    <col min="59" max="59" width="12.5546875" bestFit="1" customWidth="1"/>
    <col min="60" max="60" width="15.6640625" bestFit="1" customWidth="1"/>
    <col min="61" max="62" width="12.5546875" bestFit="1" customWidth="1"/>
    <col min="63" max="63" width="15.6640625" bestFit="1" customWidth="1"/>
    <col min="64" max="65" width="12.5546875" bestFit="1" customWidth="1"/>
    <col min="66" max="66" width="15.6640625" bestFit="1" customWidth="1"/>
    <col min="67" max="67" width="12.5546875" bestFit="1" customWidth="1"/>
    <col min="68" max="68" width="15.6640625" bestFit="1" customWidth="1"/>
    <col min="69" max="70" width="12.5546875" bestFit="1" customWidth="1"/>
    <col min="71" max="71" width="15.6640625" bestFit="1" customWidth="1"/>
    <col min="72" max="73" width="12.5546875" bestFit="1" customWidth="1"/>
    <col min="74" max="74" width="15.6640625" bestFit="1" customWidth="1"/>
    <col min="75" max="75" width="12.5546875" bestFit="1" customWidth="1"/>
    <col min="76" max="76" width="15.6640625" bestFit="1" customWidth="1"/>
    <col min="77" max="78" width="12.5546875" bestFit="1" customWidth="1"/>
    <col min="79" max="79" width="15.6640625" bestFit="1" customWidth="1"/>
    <col min="80" max="81" width="12.5546875" bestFit="1" customWidth="1"/>
    <col min="82" max="82" width="15.6640625" bestFit="1" customWidth="1"/>
    <col min="83" max="83" width="12.5546875" bestFit="1" customWidth="1"/>
    <col min="84" max="84" width="15.6640625" bestFit="1" customWidth="1"/>
    <col min="85" max="86" width="12.5546875" bestFit="1" customWidth="1"/>
    <col min="87" max="87" width="15.6640625" bestFit="1" customWidth="1"/>
    <col min="88" max="88" width="12.5546875" bestFit="1" customWidth="1"/>
    <col min="89" max="89" width="15.6640625" bestFit="1" customWidth="1"/>
    <col min="90" max="91" width="12.5546875" bestFit="1" customWidth="1"/>
    <col min="92" max="92" width="15.6640625" bestFit="1" customWidth="1"/>
    <col min="93" max="94" width="12.5546875" bestFit="1" customWidth="1"/>
    <col min="95" max="95" width="15.6640625" bestFit="1" customWidth="1"/>
    <col min="96" max="97" width="12.5546875" bestFit="1" customWidth="1"/>
    <col min="98" max="98" width="15.6640625" bestFit="1" customWidth="1"/>
    <col min="99" max="99" width="8.88671875" bestFit="1" customWidth="1"/>
    <col min="100" max="100" width="11.88671875" bestFit="1" customWidth="1"/>
    <col min="101" max="101" width="12.44140625" bestFit="1" customWidth="1"/>
  </cols>
  <sheetData>
    <row r="2" spans="3:14" x14ac:dyDescent="0.3">
      <c r="C2" s="32" t="s">
        <v>5</v>
      </c>
      <c r="D2" s="19" t="s">
        <v>161</v>
      </c>
      <c r="G2" s="32" t="s">
        <v>5</v>
      </c>
      <c r="H2" s="19" t="s">
        <v>160</v>
      </c>
    </row>
    <row r="4" spans="3:14" x14ac:dyDescent="0.3">
      <c r="C4" s="24" t="s">
        <v>1</v>
      </c>
      <c r="D4" s="25" t="s">
        <v>93</v>
      </c>
      <c r="G4" s="11" t="s">
        <v>1</v>
      </c>
      <c r="H4" s="12" t="s">
        <v>93</v>
      </c>
      <c r="K4" s="11" t="s">
        <v>164</v>
      </c>
      <c r="L4" s="11" t="s">
        <v>165</v>
      </c>
      <c r="M4" s="11" t="s">
        <v>0</v>
      </c>
      <c r="N4" s="12" t="s">
        <v>93</v>
      </c>
    </row>
    <row r="5" spans="3:14" x14ac:dyDescent="0.3">
      <c r="C5" s="27" t="s">
        <v>117</v>
      </c>
      <c r="D5" s="14">
        <v>11850</v>
      </c>
      <c r="G5" s="13" t="s">
        <v>114</v>
      </c>
      <c r="H5" s="14">
        <v>0</v>
      </c>
      <c r="K5" s="13" t="s">
        <v>162</v>
      </c>
      <c r="L5" s="23" t="s">
        <v>163</v>
      </c>
      <c r="M5" s="23"/>
      <c r="N5" s="14">
        <v>33731.01999999999</v>
      </c>
    </row>
    <row r="6" spans="3:14" x14ac:dyDescent="0.3">
      <c r="C6" s="28" t="s">
        <v>106</v>
      </c>
      <c r="D6" s="16">
        <v>2716.41</v>
      </c>
      <c r="G6" s="15" t="s">
        <v>102</v>
      </c>
      <c r="H6" s="16">
        <v>886</v>
      </c>
      <c r="K6" s="13" t="s">
        <v>166</v>
      </c>
      <c r="L6" s="23"/>
      <c r="M6" s="23"/>
      <c r="N6" s="14">
        <v>33731.01999999999</v>
      </c>
    </row>
    <row r="7" spans="3:14" x14ac:dyDescent="0.3">
      <c r="C7" s="28" t="s">
        <v>95</v>
      </c>
      <c r="D7" s="16">
        <v>50</v>
      </c>
      <c r="G7" s="15" t="s">
        <v>94</v>
      </c>
      <c r="H7" s="16">
        <v>25785.32</v>
      </c>
      <c r="K7" s="17" t="s">
        <v>92</v>
      </c>
      <c r="L7" s="22"/>
      <c r="M7" s="22"/>
      <c r="N7" s="18">
        <v>33731.01999999999</v>
      </c>
    </row>
    <row r="8" spans="3:14" x14ac:dyDescent="0.3">
      <c r="C8" s="28" t="s">
        <v>98</v>
      </c>
      <c r="D8" s="16">
        <v>1543</v>
      </c>
      <c r="G8" s="15" t="s">
        <v>108</v>
      </c>
      <c r="H8" s="16">
        <v>30.06</v>
      </c>
    </row>
    <row r="9" spans="3:14" x14ac:dyDescent="0.3">
      <c r="C9" s="28" t="s">
        <v>118</v>
      </c>
      <c r="D9" s="16">
        <v>46.8</v>
      </c>
      <c r="G9" s="15" t="s">
        <v>113</v>
      </c>
      <c r="H9" s="16">
        <v>1872.12</v>
      </c>
    </row>
    <row r="10" spans="3:14" x14ac:dyDescent="0.3">
      <c r="C10" s="28" t="s">
        <v>109</v>
      </c>
      <c r="D10" s="16">
        <v>1328.5800000000002</v>
      </c>
      <c r="G10" s="15" t="s">
        <v>107</v>
      </c>
      <c r="H10" s="16">
        <v>590</v>
      </c>
    </row>
    <row r="11" spans="3:14" x14ac:dyDescent="0.3">
      <c r="C11" s="28" t="s">
        <v>104</v>
      </c>
      <c r="D11" s="16">
        <v>227.60000000000002</v>
      </c>
      <c r="G11" s="17" t="s">
        <v>92</v>
      </c>
      <c r="H11" s="18">
        <v>29163.5</v>
      </c>
    </row>
    <row r="12" spans="3:14" x14ac:dyDescent="0.3">
      <c r="C12" s="28" t="s">
        <v>114</v>
      </c>
      <c r="D12" s="16">
        <v>0</v>
      </c>
    </row>
    <row r="13" spans="3:14" x14ac:dyDescent="0.3">
      <c r="C13" s="28" t="s">
        <v>99</v>
      </c>
      <c r="D13" s="16">
        <v>1075.6599999999999</v>
      </c>
    </row>
    <row r="14" spans="3:14" x14ac:dyDescent="0.3">
      <c r="C14" s="28" t="s">
        <v>103</v>
      </c>
      <c r="D14" s="16">
        <v>1434.93</v>
      </c>
    </row>
    <row r="15" spans="3:14" x14ac:dyDescent="0.3">
      <c r="C15" s="28" t="s">
        <v>110</v>
      </c>
      <c r="D15" s="16">
        <v>229.53000000000003</v>
      </c>
    </row>
    <row r="16" spans="3:14" x14ac:dyDescent="0.3">
      <c r="C16" s="28" t="s">
        <v>111</v>
      </c>
      <c r="D16" s="16">
        <v>39.979999999999997</v>
      </c>
    </row>
    <row r="17" spans="3:9" x14ac:dyDescent="0.3">
      <c r="C17" s="28" t="s">
        <v>112</v>
      </c>
      <c r="D17" s="16">
        <v>210.3</v>
      </c>
      <c r="G17" t="s">
        <v>192</v>
      </c>
      <c r="H17" s="6">
        <v>7000</v>
      </c>
    </row>
    <row r="18" spans="3:9" x14ac:dyDescent="0.3">
      <c r="C18" s="28" t="s">
        <v>115</v>
      </c>
      <c r="D18" s="16">
        <v>536</v>
      </c>
      <c r="G18" s="32" t="s">
        <v>5</v>
      </c>
      <c r="H18" s="19" t="s">
        <v>190</v>
      </c>
    </row>
    <row r="19" spans="3:9" x14ac:dyDescent="0.3">
      <c r="C19" s="28" t="s">
        <v>101</v>
      </c>
      <c r="D19" s="16">
        <v>30.299999999999997</v>
      </c>
    </row>
    <row r="20" spans="3:9" x14ac:dyDescent="0.3">
      <c r="C20" s="28" t="s">
        <v>26</v>
      </c>
      <c r="D20" s="16">
        <v>6580.6</v>
      </c>
      <c r="G20" s="11" t="s">
        <v>1</v>
      </c>
      <c r="H20" s="13" t="s">
        <v>193</v>
      </c>
      <c r="I20" s="34" t="s">
        <v>192</v>
      </c>
    </row>
    <row r="21" spans="3:9" x14ac:dyDescent="0.3">
      <c r="C21" s="28" t="s">
        <v>113</v>
      </c>
      <c r="D21" s="16">
        <v>1123.5</v>
      </c>
      <c r="G21" s="13" t="s">
        <v>191</v>
      </c>
      <c r="H21" s="35">
        <v>2429.65</v>
      </c>
      <c r="I21" s="37">
        <v>7000</v>
      </c>
    </row>
    <row r="22" spans="3:9" x14ac:dyDescent="0.3">
      <c r="C22" s="28" t="s">
        <v>100</v>
      </c>
      <c r="D22" s="16">
        <v>20</v>
      </c>
      <c r="G22" s="17" t="s">
        <v>92</v>
      </c>
      <c r="H22" s="36">
        <v>2429.65</v>
      </c>
      <c r="I22" s="38">
        <v>7000</v>
      </c>
    </row>
    <row r="23" spans="3:9" x14ac:dyDescent="0.3">
      <c r="C23" s="28" t="s">
        <v>116</v>
      </c>
      <c r="D23" s="16">
        <v>301.40999999999997</v>
      </c>
    </row>
    <row r="24" spans="3:9" x14ac:dyDescent="0.3">
      <c r="C24" s="28" t="s">
        <v>105</v>
      </c>
      <c r="D24" s="16">
        <v>112.09</v>
      </c>
    </row>
    <row r="25" spans="3:9" x14ac:dyDescent="0.3">
      <c r="C25" s="28" t="s">
        <v>158</v>
      </c>
      <c r="D25" s="16">
        <v>116.78</v>
      </c>
    </row>
    <row r="26" spans="3:9" x14ac:dyDescent="0.3">
      <c r="C26" s="28" t="s">
        <v>159</v>
      </c>
      <c r="D26" s="16">
        <v>285.7</v>
      </c>
    </row>
    <row r="27" spans="3:9" x14ac:dyDescent="0.3">
      <c r="C27" s="28" t="s">
        <v>167</v>
      </c>
      <c r="D27" s="16">
        <v>110</v>
      </c>
    </row>
    <row r="28" spans="3:9" x14ac:dyDescent="0.3">
      <c r="C28" s="26" t="s">
        <v>92</v>
      </c>
      <c r="D28" s="18">
        <v>29969.169999999995</v>
      </c>
    </row>
  </sheetData>
  <pageMargins left="0.511811024" right="0.511811024" top="0.78740157499999996" bottom="0.78740157499999996" header="0.31496062000000002" footer="0.31496062000000002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XFC200"/>
  <sheetViews>
    <sheetView showGridLines="0" showRowColHeaders="0" tabSelected="1" zoomScale="70" zoomScaleNormal="70" workbookViewId="0">
      <pane xSplit="1" ySplit="9" topLeftCell="B10" activePane="bottomRight" state="frozen"/>
      <selection pane="topRight" activeCell="B1" sqref="B1"/>
      <selection pane="bottomLeft" activeCell="A10" sqref="A10"/>
      <selection pane="bottomRight" activeCell="A25" sqref="A25"/>
    </sheetView>
  </sheetViews>
  <sheetFormatPr defaultColWidth="0" defaultRowHeight="14.4" zeroHeight="1" x14ac:dyDescent="0.3"/>
  <cols>
    <col min="1" max="1" width="25.6640625" style="20" customWidth="1"/>
    <col min="2" max="2" width="13.88671875" style="21" customWidth="1"/>
    <col min="3" max="20" width="9.109375" style="21" customWidth="1"/>
    <col min="21" max="21" width="7.21875" style="21" customWidth="1"/>
    <col min="22" max="16383" width="9.109375" style="20" hidden="1"/>
    <col min="16384" max="16384" width="4" style="20" hidden="1" customWidth="1"/>
  </cols>
  <sheetData>
    <row r="1" spans="1:21" x14ac:dyDescent="0.3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</row>
    <row r="2" spans="1:21" x14ac:dyDescent="0.3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</row>
    <row r="3" spans="1:21" x14ac:dyDescent="0.3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</row>
    <row r="4" spans="1:21" x14ac:dyDescent="0.3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1" x14ac:dyDescent="0.3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T5" s="29"/>
      <c r="U5" s="29"/>
    </row>
    <row r="6" spans="1:21" x14ac:dyDescent="0.3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1" x14ac:dyDescent="0.3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</row>
    <row r="8" spans="1:21" x14ac:dyDescent="0.3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1" s="29" customFormat="1" ht="26.4" customHeight="1" x14ac:dyDescent="0.3"/>
    <row r="10" spans="1:21" x14ac:dyDescent="0.3">
      <c r="A10" s="30"/>
    </row>
    <row r="11" spans="1:21" x14ac:dyDescent="0.3">
      <c r="A11" s="30"/>
    </row>
    <row r="12" spans="1:21" x14ac:dyDescent="0.3">
      <c r="A12" s="30"/>
    </row>
    <row r="13" spans="1:21" x14ac:dyDescent="0.3">
      <c r="A13" s="30"/>
    </row>
    <row r="14" spans="1:21" x14ac:dyDescent="0.3">
      <c r="A14" s="30"/>
    </row>
    <row r="15" spans="1:21" x14ac:dyDescent="0.3">
      <c r="A15" s="30"/>
    </row>
    <row r="16" spans="1:21" x14ac:dyDescent="0.3">
      <c r="A16" s="30"/>
    </row>
    <row r="17" spans="1:1" x14ac:dyDescent="0.3">
      <c r="A17" s="30"/>
    </row>
    <row r="18" spans="1:1" x14ac:dyDescent="0.3">
      <c r="A18" s="30"/>
    </row>
    <row r="19" spans="1:1" x14ac:dyDescent="0.3">
      <c r="A19" s="30"/>
    </row>
    <row r="20" spans="1:1" x14ac:dyDescent="0.3">
      <c r="A20" s="30"/>
    </row>
    <row r="21" spans="1:1" x14ac:dyDescent="0.3">
      <c r="A21" s="30"/>
    </row>
    <row r="22" spans="1:1" x14ac:dyDescent="0.3">
      <c r="A22" s="30"/>
    </row>
    <row r="23" spans="1:1" x14ac:dyDescent="0.3">
      <c r="A23" s="30"/>
    </row>
    <row r="24" spans="1:1" x14ac:dyDescent="0.3">
      <c r="A24" s="30"/>
    </row>
    <row r="25" spans="1:1" x14ac:dyDescent="0.3">
      <c r="A25" s="30"/>
    </row>
    <row r="26" spans="1:1" x14ac:dyDescent="0.3">
      <c r="A26" s="30"/>
    </row>
    <row r="27" spans="1:1" x14ac:dyDescent="0.3">
      <c r="A27" s="30"/>
    </row>
    <row r="28" spans="1:1" x14ac:dyDescent="0.3">
      <c r="A28" s="30"/>
    </row>
    <row r="29" spans="1:1" x14ac:dyDescent="0.3">
      <c r="A29" s="30"/>
    </row>
    <row r="30" spans="1:1" x14ac:dyDescent="0.3">
      <c r="A30" s="30"/>
    </row>
    <row r="31" spans="1:1" x14ac:dyDescent="0.3">
      <c r="A31" s="30"/>
    </row>
    <row r="32" spans="1:1" x14ac:dyDescent="0.3">
      <c r="A32" s="30"/>
    </row>
    <row r="33" spans="1:1" x14ac:dyDescent="0.3">
      <c r="A33" s="30"/>
    </row>
    <row r="34" spans="1:1" x14ac:dyDescent="0.3">
      <c r="A34" s="30"/>
    </row>
    <row r="35" spans="1:1" x14ac:dyDescent="0.3">
      <c r="A35" s="30"/>
    </row>
    <row r="36" spans="1:1" x14ac:dyDescent="0.3">
      <c r="A36" s="30"/>
    </row>
    <row r="37" spans="1:1" x14ac:dyDescent="0.3">
      <c r="A37" s="30"/>
    </row>
    <row r="38" spans="1:1" x14ac:dyDescent="0.3">
      <c r="A38" s="30"/>
    </row>
    <row r="39" spans="1:1" x14ac:dyDescent="0.3">
      <c r="A39" s="30"/>
    </row>
    <row r="40" spans="1:1" x14ac:dyDescent="0.3">
      <c r="A40" s="30"/>
    </row>
    <row r="41" spans="1:1" x14ac:dyDescent="0.3">
      <c r="A41" s="30"/>
    </row>
    <row r="42" spans="1:1" x14ac:dyDescent="0.3">
      <c r="A42" s="30"/>
    </row>
    <row r="43" spans="1:1" x14ac:dyDescent="0.3">
      <c r="A43" s="30"/>
    </row>
    <row r="44" spans="1:1" x14ac:dyDescent="0.3">
      <c r="A44" s="30"/>
    </row>
    <row r="45" spans="1:1" x14ac:dyDescent="0.3">
      <c r="A45" s="30"/>
    </row>
    <row r="46" spans="1:1" x14ac:dyDescent="0.3">
      <c r="A46" s="30"/>
    </row>
    <row r="47" spans="1:1" x14ac:dyDescent="0.3">
      <c r="A47" s="30"/>
    </row>
    <row r="48" spans="1:1" x14ac:dyDescent="0.3">
      <c r="A48" s="30"/>
    </row>
    <row r="49" spans="1:1" x14ac:dyDescent="0.3">
      <c r="A49" s="30"/>
    </row>
    <row r="50" spans="1:1" x14ac:dyDescent="0.3">
      <c r="A50" s="30"/>
    </row>
    <row r="51" spans="1:1" x14ac:dyDescent="0.3">
      <c r="A51" s="30"/>
    </row>
    <row r="52" spans="1:1" x14ac:dyDescent="0.3">
      <c r="A52" s="30"/>
    </row>
    <row r="53" spans="1:1" x14ac:dyDescent="0.3">
      <c r="A53" s="30"/>
    </row>
    <row r="54" spans="1:1" x14ac:dyDescent="0.3">
      <c r="A54" s="30"/>
    </row>
    <row r="55" spans="1:1" x14ac:dyDescent="0.3">
      <c r="A55" s="30"/>
    </row>
    <row r="56" spans="1:1" x14ac:dyDescent="0.3">
      <c r="A56" s="30"/>
    </row>
    <row r="57" spans="1:1" x14ac:dyDescent="0.3">
      <c r="A57" s="30"/>
    </row>
    <row r="58" spans="1:1" x14ac:dyDescent="0.3">
      <c r="A58" s="30"/>
    </row>
    <row r="59" spans="1:1" x14ac:dyDescent="0.3">
      <c r="A59" s="30"/>
    </row>
    <row r="60" spans="1:1" x14ac:dyDescent="0.3">
      <c r="A60" s="30"/>
    </row>
    <row r="61" spans="1:1" x14ac:dyDescent="0.3">
      <c r="A61" s="30"/>
    </row>
    <row r="62" spans="1:1" x14ac:dyDescent="0.3">
      <c r="A62" s="30"/>
    </row>
    <row r="63" spans="1:1" x14ac:dyDescent="0.3">
      <c r="A63" s="30"/>
    </row>
    <row r="64" spans="1:1" x14ac:dyDescent="0.3">
      <c r="A64" s="30"/>
    </row>
    <row r="65" spans="1:1" x14ac:dyDescent="0.3">
      <c r="A65" s="30"/>
    </row>
    <row r="66" spans="1:1" x14ac:dyDescent="0.3">
      <c r="A66" s="30"/>
    </row>
    <row r="67" spans="1:1" x14ac:dyDescent="0.3">
      <c r="A67" s="30"/>
    </row>
    <row r="68" spans="1:1" x14ac:dyDescent="0.3">
      <c r="A68" s="30"/>
    </row>
    <row r="69" spans="1:1" x14ac:dyDescent="0.3">
      <c r="A69" s="30"/>
    </row>
    <row r="70" spans="1:1" x14ac:dyDescent="0.3">
      <c r="A70" s="30"/>
    </row>
    <row r="71" spans="1:1" x14ac:dyDescent="0.3">
      <c r="A71" s="30"/>
    </row>
    <row r="72" spans="1:1" x14ac:dyDescent="0.3">
      <c r="A72" s="30"/>
    </row>
    <row r="73" spans="1:1" x14ac:dyDescent="0.3">
      <c r="A73" s="30"/>
    </row>
    <row r="74" spans="1:1" x14ac:dyDescent="0.3">
      <c r="A74" s="30"/>
    </row>
    <row r="75" spans="1:1" x14ac:dyDescent="0.3">
      <c r="A75" s="30"/>
    </row>
    <row r="76" spans="1:1" x14ac:dyDescent="0.3">
      <c r="A76" s="30"/>
    </row>
    <row r="77" spans="1:1" x14ac:dyDescent="0.3">
      <c r="A77" s="30"/>
    </row>
    <row r="78" spans="1:1" x14ac:dyDescent="0.3">
      <c r="A78" s="30"/>
    </row>
    <row r="79" spans="1:1" x14ac:dyDescent="0.3">
      <c r="A79" s="30"/>
    </row>
    <row r="80" spans="1:1" x14ac:dyDescent="0.3">
      <c r="A80" s="30"/>
    </row>
    <row r="81" spans="1:1" x14ac:dyDescent="0.3">
      <c r="A81" s="30"/>
    </row>
    <row r="82" spans="1:1" x14ac:dyDescent="0.3">
      <c r="A82" s="30"/>
    </row>
    <row r="83" spans="1:1" x14ac:dyDescent="0.3">
      <c r="A83" s="30"/>
    </row>
    <row r="84" spans="1:1" x14ac:dyDescent="0.3">
      <c r="A84" s="30"/>
    </row>
    <row r="85" spans="1:1" x14ac:dyDescent="0.3">
      <c r="A85" s="30"/>
    </row>
    <row r="86" spans="1:1" x14ac:dyDescent="0.3">
      <c r="A86" s="30"/>
    </row>
    <row r="87" spans="1:1" x14ac:dyDescent="0.3">
      <c r="A87" s="30"/>
    </row>
    <row r="88" spans="1:1" x14ac:dyDescent="0.3">
      <c r="A88" s="30"/>
    </row>
    <row r="89" spans="1:1" x14ac:dyDescent="0.3">
      <c r="A89" s="30"/>
    </row>
    <row r="90" spans="1:1" x14ac:dyDescent="0.3">
      <c r="A90" s="30"/>
    </row>
    <row r="91" spans="1:1" x14ac:dyDescent="0.3">
      <c r="A91" s="30"/>
    </row>
    <row r="92" spans="1:1" x14ac:dyDescent="0.3">
      <c r="A92" s="30"/>
    </row>
    <row r="93" spans="1:1" x14ac:dyDescent="0.3">
      <c r="A93" s="30"/>
    </row>
    <row r="94" spans="1:1" x14ac:dyDescent="0.3">
      <c r="A94" s="30"/>
    </row>
    <row r="95" spans="1:1" x14ac:dyDescent="0.3">
      <c r="A95" s="30"/>
    </row>
    <row r="96" spans="1:1" x14ac:dyDescent="0.3">
      <c r="A96" s="30"/>
    </row>
    <row r="97" spans="1:1" x14ac:dyDescent="0.3">
      <c r="A97" s="30"/>
    </row>
    <row r="98" spans="1:1" x14ac:dyDescent="0.3">
      <c r="A98" s="30"/>
    </row>
    <row r="99" spans="1:1" x14ac:dyDescent="0.3">
      <c r="A99" s="30"/>
    </row>
    <row r="100" spans="1:1" x14ac:dyDescent="0.3">
      <c r="A100" s="30"/>
    </row>
    <row r="101" spans="1:1" x14ac:dyDescent="0.3">
      <c r="A101" s="30"/>
    </row>
    <row r="102" spans="1:1" x14ac:dyDescent="0.3">
      <c r="A102" s="30"/>
    </row>
    <row r="103" spans="1:1" x14ac:dyDescent="0.3">
      <c r="A103" s="30"/>
    </row>
    <row r="104" spans="1:1" x14ac:dyDescent="0.3">
      <c r="A104" s="30"/>
    </row>
    <row r="105" spans="1:1" x14ac:dyDescent="0.3">
      <c r="A105" s="30"/>
    </row>
    <row r="106" spans="1:1" x14ac:dyDescent="0.3">
      <c r="A106" s="30"/>
    </row>
    <row r="107" spans="1:1" x14ac:dyDescent="0.3">
      <c r="A107" s="30"/>
    </row>
    <row r="108" spans="1:1" x14ac:dyDescent="0.3">
      <c r="A108" s="30"/>
    </row>
    <row r="109" spans="1:1" x14ac:dyDescent="0.3">
      <c r="A109" s="30"/>
    </row>
    <row r="110" spans="1:1" x14ac:dyDescent="0.3">
      <c r="A110" s="30"/>
    </row>
    <row r="111" spans="1:1" x14ac:dyDescent="0.3">
      <c r="A111" s="30"/>
    </row>
    <row r="112" spans="1:1" x14ac:dyDescent="0.3">
      <c r="A112" s="30"/>
    </row>
    <row r="113" spans="1:1" x14ac:dyDescent="0.3">
      <c r="A113" s="30"/>
    </row>
    <row r="114" spans="1:1" x14ac:dyDescent="0.3">
      <c r="A114" s="30"/>
    </row>
    <row r="115" spans="1:1" x14ac:dyDescent="0.3">
      <c r="A115" s="30"/>
    </row>
    <row r="116" spans="1:1" x14ac:dyDescent="0.3">
      <c r="A116" s="30"/>
    </row>
    <row r="117" spans="1:1" x14ac:dyDescent="0.3">
      <c r="A117" s="30"/>
    </row>
    <row r="118" spans="1:1" x14ac:dyDescent="0.3">
      <c r="A118" s="30"/>
    </row>
    <row r="119" spans="1:1" x14ac:dyDescent="0.3">
      <c r="A119" s="30"/>
    </row>
    <row r="120" spans="1:1" x14ac:dyDescent="0.3">
      <c r="A120" s="30"/>
    </row>
    <row r="121" spans="1:1" x14ac:dyDescent="0.3">
      <c r="A121" s="30"/>
    </row>
    <row r="122" spans="1:1" x14ac:dyDescent="0.3">
      <c r="A122" s="30"/>
    </row>
    <row r="123" spans="1:1" x14ac:dyDescent="0.3">
      <c r="A123" s="30"/>
    </row>
    <row r="124" spans="1:1" x14ac:dyDescent="0.3">
      <c r="A124" s="30"/>
    </row>
    <row r="125" spans="1:1" x14ac:dyDescent="0.3">
      <c r="A125" s="30"/>
    </row>
    <row r="126" spans="1:1" x14ac:dyDescent="0.3">
      <c r="A126" s="30"/>
    </row>
    <row r="127" spans="1:1" x14ac:dyDescent="0.3">
      <c r="A127" s="30"/>
    </row>
    <row r="128" spans="1:1" x14ac:dyDescent="0.3">
      <c r="A128" s="30"/>
    </row>
    <row r="129" spans="1:1" x14ac:dyDescent="0.3">
      <c r="A129" s="30"/>
    </row>
    <row r="130" spans="1:1" x14ac:dyDescent="0.3">
      <c r="A130" s="30"/>
    </row>
    <row r="131" spans="1:1" x14ac:dyDescent="0.3">
      <c r="A131" s="30"/>
    </row>
    <row r="132" spans="1:1" x14ac:dyDescent="0.3">
      <c r="A132" s="30"/>
    </row>
    <row r="133" spans="1:1" x14ac:dyDescent="0.3">
      <c r="A133" s="30"/>
    </row>
    <row r="134" spans="1:1" x14ac:dyDescent="0.3">
      <c r="A134" s="30"/>
    </row>
    <row r="135" spans="1:1" x14ac:dyDescent="0.3">
      <c r="A135" s="30"/>
    </row>
    <row r="136" spans="1:1" x14ac:dyDescent="0.3">
      <c r="A136" s="30"/>
    </row>
    <row r="137" spans="1:1" x14ac:dyDescent="0.3">
      <c r="A137" s="30"/>
    </row>
    <row r="138" spans="1:1" x14ac:dyDescent="0.3">
      <c r="A138" s="30"/>
    </row>
    <row r="139" spans="1:1" x14ac:dyDescent="0.3">
      <c r="A139" s="30"/>
    </row>
    <row r="140" spans="1:1" x14ac:dyDescent="0.3">
      <c r="A140" s="30"/>
    </row>
    <row r="141" spans="1:1" x14ac:dyDescent="0.3">
      <c r="A141" s="30"/>
    </row>
    <row r="142" spans="1:1" x14ac:dyDescent="0.3">
      <c r="A142" s="30"/>
    </row>
    <row r="143" spans="1:1" x14ac:dyDescent="0.3">
      <c r="A143" s="30"/>
    </row>
    <row r="144" spans="1:1" x14ac:dyDescent="0.3">
      <c r="A144" s="30"/>
    </row>
    <row r="145" spans="1:1" x14ac:dyDescent="0.3">
      <c r="A145" s="30"/>
    </row>
    <row r="146" spans="1:1" x14ac:dyDescent="0.3">
      <c r="A146" s="30"/>
    </row>
    <row r="147" spans="1:1" x14ac:dyDescent="0.3">
      <c r="A147" s="30"/>
    </row>
    <row r="148" spans="1:1" x14ac:dyDescent="0.3">
      <c r="A148" s="30"/>
    </row>
    <row r="149" spans="1:1" x14ac:dyDescent="0.3">
      <c r="A149" s="30"/>
    </row>
    <row r="150" spans="1:1" x14ac:dyDescent="0.3">
      <c r="A150" s="30"/>
    </row>
    <row r="151" spans="1:1" x14ac:dyDescent="0.3">
      <c r="A151" s="30"/>
    </row>
    <row r="152" spans="1:1" x14ac:dyDescent="0.3">
      <c r="A152" s="30"/>
    </row>
    <row r="153" spans="1:1" x14ac:dyDescent="0.3">
      <c r="A153" s="30"/>
    </row>
    <row r="154" spans="1:1" x14ac:dyDescent="0.3">
      <c r="A154" s="30"/>
    </row>
    <row r="155" spans="1:1" x14ac:dyDescent="0.3">
      <c r="A155" s="30"/>
    </row>
    <row r="156" spans="1:1" x14ac:dyDescent="0.3">
      <c r="A156" s="30"/>
    </row>
    <row r="157" spans="1:1" x14ac:dyDescent="0.3">
      <c r="A157" s="30"/>
    </row>
    <row r="158" spans="1:1" x14ac:dyDescent="0.3">
      <c r="A158" s="30"/>
    </row>
    <row r="159" spans="1:1" x14ac:dyDescent="0.3">
      <c r="A159" s="30"/>
    </row>
    <row r="160" spans="1:1" x14ac:dyDescent="0.3">
      <c r="A160" s="30"/>
    </row>
    <row r="161" spans="1:1" x14ac:dyDescent="0.3">
      <c r="A161" s="30"/>
    </row>
    <row r="162" spans="1:1" x14ac:dyDescent="0.3">
      <c r="A162" s="30"/>
    </row>
    <row r="163" spans="1:1" x14ac:dyDescent="0.3">
      <c r="A163" s="30"/>
    </row>
    <row r="164" spans="1:1" x14ac:dyDescent="0.3">
      <c r="A164" s="30"/>
    </row>
    <row r="165" spans="1:1" x14ac:dyDescent="0.3">
      <c r="A165" s="30"/>
    </row>
    <row r="166" spans="1:1" x14ac:dyDescent="0.3">
      <c r="A166" s="30"/>
    </row>
    <row r="167" spans="1:1" x14ac:dyDescent="0.3">
      <c r="A167" s="30"/>
    </row>
    <row r="168" spans="1:1" x14ac:dyDescent="0.3">
      <c r="A168" s="30"/>
    </row>
    <row r="169" spans="1:1" x14ac:dyDescent="0.3">
      <c r="A169" s="30"/>
    </row>
    <row r="170" spans="1:1" x14ac:dyDescent="0.3">
      <c r="A170" s="30"/>
    </row>
    <row r="171" spans="1:1" x14ac:dyDescent="0.3">
      <c r="A171" s="30"/>
    </row>
    <row r="172" spans="1:1" x14ac:dyDescent="0.3">
      <c r="A172" s="30"/>
    </row>
    <row r="173" spans="1:1" x14ac:dyDescent="0.3">
      <c r="A173" s="30"/>
    </row>
    <row r="174" spans="1:1" x14ac:dyDescent="0.3">
      <c r="A174" s="30"/>
    </row>
    <row r="175" spans="1:1" x14ac:dyDescent="0.3">
      <c r="A175" s="30"/>
    </row>
    <row r="176" spans="1:1" x14ac:dyDescent="0.3">
      <c r="A176" s="30"/>
    </row>
    <row r="177" spans="1:1" x14ac:dyDescent="0.3">
      <c r="A177" s="30"/>
    </row>
    <row r="178" spans="1:1" x14ac:dyDescent="0.3">
      <c r="A178" s="30"/>
    </row>
    <row r="179" spans="1:1" x14ac:dyDescent="0.3">
      <c r="A179" s="30"/>
    </row>
    <row r="180" spans="1:1" x14ac:dyDescent="0.3">
      <c r="A180" s="30"/>
    </row>
    <row r="181" spans="1:1" x14ac:dyDescent="0.3">
      <c r="A181" s="30"/>
    </row>
    <row r="182" spans="1:1" x14ac:dyDescent="0.3">
      <c r="A182" s="30"/>
    </row>
    <row r="183" spans="1:1" x14ac:dyDescent="0.3">
      <c r="A183" s="30"/>
    </row>
    <row r="184" spans="1:1" x14ac:dyDescent="0.3">
      <c r="A184" s="30"/>
    </row>
    <row r="185" spans="1:1" x14ac:dyDescent="0.3">
      <c r="A185" s="30"/>
    </row>
    <row r="186" spans="1:1" x14ac:dyDescent="0.3">
      <c r="A186" s="30"/>
    </row>
    <row r="187" spans="1:1" x14ac:dyDescent="0.3">
      <c r="A187" s="30"/>
    </row>
    <row r="188" spans="1:1" x14ac:dyDescent="0.3">
      <c r="A188" s="30"/>
    </row>
    <row r="189" spans="1:1" x14ac:dyDescent="0.3">
      <c r="A189" s="30"/>
    </row>
    <row r="190" spans="1:1" x14ac:dyDescent="0.3">
      <c r="A190" s="30"/>
    </row>
    <row r="191" spans="1:1" x14ac:dyDescent="0.3">
      <c r="A191" s="30"/>
    </row>
    <row r="192" spans="1:1" x14ac:dyDescent="0.3">
      <c r="A192" s="30"/>
    </row>
    <row r="193" spans="1:1" x14ac:dyDescent="0.3">
      <c r="A193" s="30"/>
    </row>
    <row r="194" spans="1:1" x14ac:dyDescent="0.3">
      <c r="A194" s="30"/>
    </row>
    <row r="195" spans="1:1" x14ac:dyDescent="0.3">
      <c r="A195" s="30"/>
    </row>
    <row r="196" spans="1:1" x14ac:dyDescent="0.3">
      <c r="A196" s="30"/>
    </row>
    <row r="197" spans="1:1" x14ac:dyDescent="0.3">
      <c r="A197" s="30"/>
    </row>
    <row r="198" spans="1:1" x14ac:dyDescent="0.3">
      <c r="A198" s="30"/>
    </row>
    <row r="199" spans="1:1" x14ac:dyDescent="0.3">
      <c r="A199" s="30"/>
    </row>
    <row r="200" spans="1:1" x14ac:dyDescent="0.3">
      <c r="A200" s="30"/>
    </row>
  </sheetData>
  <sheetProtection algorithmName="SHA-512" hashValue="E8x67N892tbZ2kqtNEVUtx2q4lXZsqdKWuicq5+MQLmJmEnJ2iVrph52Bgcd5Ib3AGJ4ZOsW0tinvLXQpZw3hw==" saltValue="z246lx8oLpfftNp9oVs3gw==" spinCount="100000" sheet="1" objects="1" scenarios="1" selectLockedCells="1" pivotTables="0" selectUn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3E7D63-2791-41B4-8240-AE1B0E4BC9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DATA_TXT_CEF</vt:lpstr>
      <vt:lpstr>Data</vt:lpstr>
      <vt:lpstr>Controller</vt:lpstr>
      <vt:lpstr>Dashboard</vt:lpstr>
    </vt:vector>
  </TitlesOfParts>
  <Company>Caixa Economica Federal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Agnaldo dos Santos Figueiredo</dc:creator>
  <cp:lastModifiedBy>Agnaldo dos Santos Figueiredo</cp:lastModifiedBy>
  <dcterms:created xsi:type="dcterms:W3CDTF">2025-01-16T15:35:03Z</dcterms:created>
  <dcterms:modified xsi:type="dcterms:W3CDTF">2025-01-25T22:37:53Z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333b259-87ee-4762-9a8c-7b0d155dd87f_Enabled">
    <vt:lpwstr>true</vt:lpwstr>
  </property>
  <property fmtid="{D5CDD505-2E9C-101B-9397-08002B2CF9AE}" pid="3" name="MSIP_Label_9333b259-87ee-4762-9a8c-7b0d155dd87f_SetDate">
    <vt:lpwstr>2025-01-16T16:02:16Z</vt:lpwstr>
  </property>
  <property fmtid="{D5CDD505-2E9C-101B-9397-08002B2CF9AE}" pid="4" name="MSIP_Label_9333b259-87ee-4762-9a8c-7b0d155dd87f_Method">
    <vt:lpwstr>Privileged</vt:lpwstr>
  </property>
  <property fmtid="{D5CDD505-2E9C-101B-9397-08002B2CF9AE}" pid="5" name="MSIP_Label_9333b259-87ee-4762-9a8c-7b0d155dd87f_Name">
    <vt:lpwstr>_PESSOAL</vt:lpwstr>
  </property>
  <property fmtid="{D5CDD505-2E9C-101B-9397-08002B2CF9AE}" pid="6" name="MSIP_Label_9333b259-87ee-4762-9a8c-7b0d155dd87f_SiteId">
    <vt:lpwstr>ab9bba98-684a-43fb-add8-9c2bebede229</vt:lpwstr>
  </property>
  <property fmtid="{D5CDD505-2E9C-101B-9397-08002B2CF9AE}" pid="7" name="MSIP_Label_9333b259-87ee-4762-9a8c-7b0d155dd87f_ActionId">
    <vt:lpwstr>67393c3f-95fd-43d7-95c2-b8147779f5bd</vt:lpwstr>
  </property>
  <property fmtid="{D5CDD505-2E9C-101B-9397-08002B2CF9AE}" pid="8" name="MSIP_Label_9333b259-87ee-4762-9a8c-7b0d155dd87f_ContentBits">
    <vt:lpwstr>1</vt:lpwstr>
  </property>
</Properties>
</file>